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weł\Desktop\"/>
    </mc:Choice>
  </mc:AlternateContent>
  <xr:revisionPtr revIDLastSave="0" documentId="13_ncr:1_{3D33766A-D695-43AA-B832-7AAA38AB5B04}" xr6:coauthVersionLast="47" xr6:coauthVersionMax="47" xr10:uidLastSave="{00000000-0000-0000-0000-000000000000}"/>
  <bookViews>
    <workbookView xWindow="-120" yWindow="-120" windowWidth="29040" windowHeight="16440" xr2:uid="{C76DC9A2-1938-4455-86EC-70440F02561D}"/>
  </bookViews>
  <sheets>
    <sheet name="Arkusz1" sheetId="1" r:id="rId1"/>
    <sheet name="Exampl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1" l="1"/>
  <c r="E7" i="1" a="1"/>
  <c r="E7" i="1" s="1"/>
  <c r="E8" i="1" a="1"/>
  <c r="E8" i="1" s="1"/>
  <c r="E9" i="1" a="1"/>
  <c r="E9" i="1" s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B23" i="1" l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6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6" i="1"/>
  <c r="A7" i="1"/>
  <c r="A8" i="1"/>
  <c r="E12" i="1" l="1" a="1"/>
  <c r="E12" i="1" s="1"/>
  <c r="G12" i="1" s="1"/>
  <c r="E11" i="1" a="1"/>
  <c r="E11" i="1" s="1"/>
  <c r="G11" i="1" s="1"/>
  <c r="E10" i="1" a="1"/>
  <c r="E10" i="1" s="1"/>
  <c r="G10" i="1" s="1"/>
  <c r="G9" i="1"/>
  <c r="G8" i="1"/>
  <c r="G7" i="1"/>
  <c r="P27" i="1"/>
  <c r="P31" i="1"/>
  <c r="P30" i="1"/>
  <c r="P28" i="1"/>
  <c r="E24" i="1" l="1" a="1"/>
  <c r="E24" i="1" s="1"/>
  <c r="G24" i="1" s="1"/>
  <c r="E25" i="1" a="1"/>
  <c r="E25" i="1" s="1"/>
  <c r="G25" i="1" s="1"/>
  <c r="E26" i="1" a="1"/>
  <c r="E26" i="1" s="1"/>
  <c r="G26" i="1" s="1"/>
  <c r="E27" i="1" a="1"/>
  <c r="E27" i="1" s="1"/>
  <c r="G27" i="1" s="1"/>
  <c r="E28" i="1" a="1"/>
  <c r="E28" i="1" s="1"/>
  <c r="G28" i="1" s="1"/>
  <c r="E29" i="1" a="1"/>
  <c r="E29" i="1" s="1"/>
  <c r="G29" i="1" s="1"/>
  <c r="E30" i="1" a="1"/>
  <c r="E30" i="1" s="1"/>
  <c r="G30" i="1" s="1"/>
  <c r="E31" i="1" a="1"/>
  <c r="E31" i="1" s="1"/>
  <c r="G31" i="1" s="1"/>
  <c r="E32" i="1" a="1"/>
  <c r="E32" i="1" s="1"/>
  <c r="G32" i="1" s="1"/>
  <c r="E33" i="1" a="1"/>
  <c r="E33" i="1" s="1"/>
  <c r="G33" i="1" s="1"/>
  <c r="E34" i="1" a="1"/>
  <c r="E34" i="1" s="1"/>
  <c r="G34" i="1" s="1"/>
  <c r="E35" i="1" a="1"/>
  <c r="E35" i="1" s="1"/>
  <c r="G35" i="1" s="1"/>
  <c r="E36" i="1" a="1"/>
  <c r="E36" i="1" s="1"/>
  <c r="G36" i="1" s="1"/>
  <c r="E37" i="1" a="1"/>
  <c r="E37" i="1" s="1"/>
  <c r="G37" i="1" s="1"/>
  <c r="E38" i="1" a="1"/>
  <c r="E38" i="1" s="1"/>
  <c r="G38" i="1" s="1"/>
  <c r="E39" i="1" a="1"/>
  <c r="E39" i="1" s="1"/>
  <c r="G39" i="1" s="1"/>
  <c r="E40" i="1" a="1"/>
  <c r="E40" i="1" s="1"/>
  <c r="G40" i="1" s="1"/>
  <c r="E41" i="1" a="1"/>
  <c r="E41" i="1" s="1"/>
  <c r="G41" i="1" s="1"/>
  <c r="E42" i="1" a="1"/>
  <c r="E42" i="1" s="1"/>
  <c r="G42" i="1" s="1"/>
  <c r="E43" i="1" a="1"/>
  <c r="E43" i="1" s="1"/>
  <c r="G43" i="1" s="1"/>
  <c r="E44" i="1" a="1"/>
  <c r="E44" i="1" s="1"/>
  <c r="G44" i="1" s="1"/>
  <c r="E45" i="1" a="1"/>
  <c r="E45" i="1" s="1"/>
  <c r="G45" i="1" s="1"/>
  <c r="E46" i="1" a="1"/>
  <c r="E46" i="1" s="1"/>
  <c r="G46" i="1" s="1"/>
  <c r="E47" i="1" a="1"/>
  <c r="E47" i="1" s="1"/>
  <c r="G47" i="1" s="1"/>
  <c r="E48" i="1" a="1"/>
  <c r="E48" i="1" s="1"/>
  <c r="G48" i="1" s="1"/>
  <c r="E49" i="1" a="1"/>
  <c r="E49" i="1" s="1"/>
  <c r="G49" i="1" s="1"/>
  <c r="E50" i="1" a="1"/>
  <c r="E50" i="1" s="1"/>
  <c r="G50" i="1" s="1"/>
  <c r="E51" i="1" a="1"/>
  <c r="E51" i="1" s="1"/>
  <c r="G51" i="1" s="1"/>
  <c r="E52" i="1" a="1"/>
  <c r="E52" i="1" s="1"/>
  <c r="G52" i="1" s="1"/>
  <c r="E53" i="1" a="1"/>
  <c r="E53" i="1" s="1"/>
  <c r="G53" i="1" s="1"/>
  <c r="E54" i="1" a="1"/>
  <c r="E54" i="1" s="1"/>
  <c r="G54" i="1" s="1"/>
  <c r="E55" i="1" a="1"/>
  <c r="E55" i="1" s="1"/>
  <c r="G55" i="1" s="1"/>
  <c r="E56" i="1" a="1"/>
  <c r="E56" i="1" s="1"/>
  <c r="G56" i="1" s="1"/>
  <c r="E57" i="1" a="1"/>
  <c r="E57" i="1" s="1"/>
  <c r="G57" i="1" s="1"/>
  <c r="E58" i="1" a="1"/>
  <c r="E58" i="1" s="1"/>
  <c r="G58" i="1" s="1"/>
  <c r="E59" i="1" a="1"/>
  <c r="E59" i="1" s="1"/>
  <c r="G59" i="1" s="1"/>
  <c r="E60" i="1" a="1"/>
  <c r="E60" i="1" s="1"/>
  <c r="G60" i="1" s="1"/>
  <c r="E61" i="1" a="1"/>
  <c r="E61" i="1" s="1"/>
  <c r="G61" i="1" s="1"/>
  <c r="E62" i="1" a="1"/>
  <c r="E62" i="1" s="1"/>
  <c r="G62" i="1" s="1"/>
  <c r="E63" i="1" a="1"/>
  <c r="E63" i="1" s="1"/>
  <c r="G63" i="1" s="1"/>
  <c r="E64" i="1" a="1"/>
  <c r="E64" i="1" s="1"/>
  <c r="G64" i="1" s="1"/>
  <c r="E65" i="1" a="1"/>
  <c r="E65" i="1" s="1"/>
  <c r="G65" i="1" s="1"/>
  <c r="E66" i="1" a="1"/>
  <c r="E66" i="1" s="1"/>
  <c r="G66" i="1" s="1"/>
  <c r="E67" i="1" a="1"/>
  <c r="E67" i="1" s="1"/>
  <c r="G67" i="1" s="1"/>
  <c r="E68" i="1" a="1"/>
  <c r="E68" i="1" s="1"/>
  <c r="G68" i="1" s="1"/>
  <c r="E69" i="1" a="1"/>
  <c r="E69" i="1" s="1"/>
  <c r="G69" i="1" s="1"/>
  <c r="E70" i="1" a="1"/>
  <c r="E70" i="1" s="1"/>
  <c r="G70" i="1" s="1"/>
  <c r="E71" i="1" a="1"/>
  <c r="E71" i="1" s="1"/>
  <c r="G71" i="1" s="1"/>
  <c r="E72" i="1" a="1"/>
  <c r="E72" i="1" s="1"/>
  <c r="G72" i="1" s="1"/>
  <c r="E73" i="1" a="1"/>
  <c r="E73" i="1" s="1"/>
  <c r="G73" i="1" s="1"/>
  <c r="E74" i="1" a="1"/>
  <c r="E74" i="1" s="1"/>
  <c r="G74" i="1" s="1"/>
  <c r="E75" i="1" a="1"/>
  <c r="E75" i="1" s="1"/>
  <c r="G75" i="1" s="1"/>
  <c r="E76" i="1" a="1"/>
  <c r="E76" i="1" s="1"/>
  <c r="G76" i="1" s="1"/>
  <c r="E77" i="1" a="1"/>
  <c r="E77" i="1" s="1"/>
  <c r="G77" i="1" s="1"/>
  <c r="E78" i="1" a="1"/>
  <c r="E78" i="1" s="1"/>
  <c r="G78" i="1" s="1"/>
  <c r="E79" i="1" a="1"/>
  <c r="E79" i="1" s="1"/>
  <c r="G79" i="1" s="1"/>
  <c r="E80" i="1" a="1"/>
  <c r="E80" i="1" s="1"/>
  <c r="G80" i="1" s="1"/>
  <c r="E81" i="1" a="1"/>
  <c r="E81" i="1" s="1"/>
  <c r="G81" i="1" s="1"/>
  <c r="E82" i="1" a="1"/>
  <c r="E82" i="1" s="1"/>
  <c r="G82" i="1" s="1"/>
  <c r="E83" i="1" a="1"/>
  <c r="E83" i="1" s="1"/>
  <c r="G83" i="1" s="1"/>
  <c r="E84" i="1" a="1"/>
  <c r="E84" i="1" s="1"/>
  <c r="G84" i="1" s="1"/>
  <c r="E85" i="1" a="1"/>
  <c r="E85" i="1" s="1"/>
  <c r="G85" i="1" s="1"/>
  <c r="E86" i="1" a="1"/>
  <c r="E86" i="1" s="1"/>
  <c r="G86" i="1" s="1"/>
  <c r="E87" i="1" a="1"/>
  <c r="E87" i="1" s="1"/>
  <c r="G87" i="1" s="1"/>
  <c r="E88" i="1" a="1"/>
  <c r="E88" i="1" s="1"/>
  <c r="G88" i="1" s="1"/>
  <c r="E89" i="1" a="1"/>
  <c r="E89" i="1" s="1"/>
  <c r="G89" i="1" s="1"/>
  <c r="E90" i="1" a="1"/>
  <c r="E90" i="1" s="1"/>
  <c r="G90" i="1" s="1"/>
  <c r="E91" i="1" a="1"/>
  <c r="E91" i="1" s="1"/>
  <c r="G91" i="1" s="1"/>
  <c r="E92" i="1" a="1"/>
  <c r="E92" i="1" s="1"/>
  <c r="G92" i="1" s="1"/>
  <c r="E93" i="1" a="1"/>
  <c r="E93" i="1" s="1"/>
  <c r="G93" i="1" s="1"/>
  <c r="E94" i="1" a="1"/>
  <c r="E94" i="1" s="1"/>
  <c r="G94" i="1" s="1"/>
  <c r="E95" i="1" a="1"/>
  <c r="E95" i="1" s="1"/>
  <c r="G95" i="1" s="1"/>
  <c r="E96" i="1" a="1"/>
  <c r="E96" i="1" s="1"/>
  <c r="G96" i="1" s="1"/>
  <c r="E97" i="1" a="1"/>
  <c r="E97" i="1" s="1"/>
  <c r="G97" i="1" s="1"/>
  <c r="E98" i="1" a="1"/>
  <c r="E98" i="1" s="1"/>
  <c r="G98" i="1" s="1"/>
  <c r="E99" i="1" a="1"/>
  <c r="E99" i="1" s="1"/>
  <c r="G99" i="1" s="1"/>
  <c r="E100" i="1" a="1"/>
  <c r="E100" i="1" s="1"/>
  <c r="G100" i="1" s="1"/>
  <c r="E101" i="1" a="1"/>
  <c r="E101" i="1" s="1"/>
  <c r="G101" i="1" s="1"/>
  <c r="E102" i="1" a="1"/>
  <c r="E102" i="1" s="1"/>
  <c r="G102" i="1" s="1"/>
  <c r="E103" i="1" a="1"/>
  <c r="E103" i="1" s="1"/>
  <c r="G103" i="1" s="1"/>
  <c r="E104" i="1" a="1"/>
  <c r="E104" i="1" s="1"/>
  <c r="G104" i="1" s="1"/>
  <c r="E105" i="1" a="1"/>
  <c r="E105" i="1" s="1"/>
  <c r="G105" i="1" s="1"/>
  <c r="E106" i="1" a="1"/>
  <c r="E106" i="1" s="1"/>
  <c r="G106" i="1" s="1"/>
  <c r="E107" i="1" a="1"/>
  <c r="E107" i="1" s="1"/>
  <c r="G107" i="1" s="1"/>
  <c r="E108" i="1" a="1"/>
  <c r="E108" i="1" s="1"/>
  <c r="G108" i="1" s="1"/>
  <c r="E109" i="1" a="1"/>
  <c r="E109" i="1" s="1"/>
  <c r="G109" i="1" s="1"/>
  <c r="E110" i="1" a="1"/>
  <c r="E110" i="1" s="1"/>
  <c r="G110" i="1" s="1"/>
  <c r="E111" i="1" a="1"/>
  <c r="E111" i="1" s="1"/>
  <c r="G111" i="1" s="1"/>
  <c r="E112" i="1" a="1"/>
  <c r="E112" i="1" s="1"/>
  <c r="G112" i="1" s="1"/>
  <c r="E113" i="1" a="1"/>
  <c r="E113" i="1" s="1"/>
  <c r="G113" i="1" s="1"/>
  <c r="E13" i="1" a="1"/>
  <c r="E13" i="1" s="1"/>
  <c r="G13" i="1" s="1"/>
  <c r="E14" i="1" a="1"/>
  <c r="E14" i="1" s="1"/>
  <c r="G14" i="1" s="1"/>
  <c r="E15" i="1" a="1"/>
  <c r="E15" i="1" s="1"/>
  <c r="G15" i="1" s="1"/>
  <c r="E16" i="1" a="1"/>
  <c r="E16" i="1" s="1"/>
  <c r="G16" i="1" s="1"/>
  <c r="E17" i="1" a="1"/>
  <c r="E17" i="1" s="1"/>
  <c r="G17" i="1" s="1"/>
  <c r="E18" i="1" a="1"/>
  <c r="E18" i="1" s="1"/>
  <c r="G18" i="1" s="1"/>
  <c r="E19" i="1" a="1"/>
  <c r="E19" i="1" s="1"/>
  <c r="G19" i="1" s="1"/>
  <c r="E20" i="1" a="1"/>
  <c r="E20" i="1" s="1"/>
  <c r="G20" i="1" s="1"/>
  <c r="E21" i="1" a="1"/>
  <c r="E21" i="1" s="1"/>
  <c r="G21" i="1" s="1"/>
  <c r="E22" i="1" a="1"/>
  <c r="E22" i="1" s="1"/>
  <c r="G22" i="1" s="1"/>
  <c r="E23" i="1" a="1"/>
  <c r="E23" i="1" s="1"/>
  <c r="G23" i="1" s="1"/>
  <c r="E6" i="1" a="1"/>
  <c r="E6" i="1" s="1"/>
  <c r="G6" i="1" s="1"/>
  <c r="J27" i="1" s="1"/>
  <c r="Q32" i="1" a="1"/>
  <c r="Q32" i="1" l="1"/>
  <c r="Q27" i="1" a="1"/>
  <c r="Q28" i="1" a="1"/>
  <c r="Q30" i="1" a="1"/>
  <c r="Q31" i="1" a="1"/>
  <c r="Q26" i="1" a="1"/>
  <c r="Q28" i="1" l="1"/>
  <c r="Q30" i="1"/>
  <c r="Q26" i="1"/>
  <c r="Q31" i="1"/>
  <c r="Q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<sst xmlns="http://schemas.openxmlformats.org/spreadsheetml/2006/main" count="96" uniqueCount="95">
  <si>
    <t>y</t>
  </si>
  <si>
    <t>b</t>
  </si>
  <si>
    <t>a</t>
  </si>
  <si>
    <t>max_zoom</t>
  </si>
  <si>
    <t>min_zoom</t>
  </si>
  <si>
    <t>zoom_incr</t>
  </si>
  <si>
    <t>img_height</t>
  </si>
  <si>
    <t>img_width</t>
  </si>
  <si>
    <t>mode</t>
  </si>
  <si>
    <t>show_grid_flag</t>
  </si>
  <si>
    <t>mousex</t>
  </si>
  <si>
    <t>mousey</t>
  </si>
  <si>
    <t>axis_box</t>
  </si>
  <si>
    <t>y0</t>
  </si>
  <si>
    <t>w</t>
  </si>
  <si>
    <t>h</t>
  </si>
  <si>
    <t>rot_degr</t>
  </si>
  <si>
    <t>0}</t>
  </si>
  <si>
    <t>fixpoints</t>
  </si>
  <si>
    <t>uiData</t>
  </si>
  <si>
    <t>input_rotate</t>
  </si>
  <si>
    <t>check_snapmode</t>
  </si>
  <si>
    <t>check_show_x_grid</t>
  </si>
  <si>
    <t>stats_div</t>
  </si>
  <si>
    <t>button_redraw_sampled</t>
  </si>
  <si>
    <t>Show sampled curve(1)</t>
  </si>
  <si>
    <t>button_redraw_postproc</t>
  </si>
  <si>
    <t>Show post processed</t>
  </si>
  <si>
    <t>check_stats</t>
  </si>
  <si>
    <t>radio_mode</t>
  </si>
  <si>
    <t>input_y_high</t>
  </si>
  <si>
    <t>input_y_low</t>
  </si>
  <si>
    <t>input_x_low</t>
  </si>
  <si>
    <t>input_x_high</t>
  </si>
  <si>
    <t>check_logy</t>
  </si>
  <si>
    <t>check_logx</t>
  </si>
  <si>
    <t>check_log_equidist</t>
  </si>
  <si>
    <t>radio_intervals</t>
  </si>
  <si>
    <t>stepsize</t>
  </si>
  <si>
    <t>input_stepsize</t>
  </si>
  <si>
    <t>input_intervals</t>
  </si>
  <si>
    <t>check_start_first</t>
  </si>
  <si>
    <t>radio_sampletype</t>
  </si>
  <si>
    <t>interpolation</t>
  </si>
  <si>
    <t>radio_linear</t>
  </si>
  <si>
    <t>linear</t>
  </si>
  <si>
    <t>select_interp_type</t>
  </si>
  <si>
    <t>cubic</t>
  </si>
  <si>
    <t>input_poly_fit_order</t>
  </si>
  <si>
    <t>input_moving_avg_len</t>
  </si>
  <si>
    <t>input_moving_gauss_len</t>
  </si>
  <si>
    <t>input_spline_smoothing</t>
  </si>
  <si>
    <t>input_denoise_window</t>
  </si>
  <si>
    <t>radio_machinetype</t>
  </si>
  <si>
    <t>basic</t>
  </si>
  <si>
    <t>radio_postproctype</t>
  </si>
  <si>
    <t>none</t>
  </si>
  <si>
    <t>input_precision</t>
  </si>
  <si>
    <t>radio_output</t>
  </si>
  <si>
    <t>csv</t>
  </si>
  <si>
    <t>select_csv_format</t>
  </si>
  <si>
    <t>tab</t>
  </si>
  <si>
    <t>span_accuracy</t>
  </si>
  <si>
    <t>check_logy_plot</t>
  </si>
  <si>
    <t>check_logx_plot</t>
  </si>
  <si>
    <t>false}}</t>
  </si>
  <si>
    <t>Y min</t>
  </si>
  <si>
    <t>Y max</t>
  </si>
  <si>
    <t>X min</t>
  </si>
  <si>
    <t>X max</t>
  </si>
  <si>
    <t>X adjust</t>
  </si>
  <si>
    <t>Y adjust</t>
  </si>
  <si>
    <t>"=setchartaxis("arkusz1";"Wykres 1";"Major";"Unit";"Primary";K37)</t>
  </si>
  <si>
    <t>{graphData</t>
  </si>
  <si>
    <t>{zoom_f</t>
  </si>
  <si>
    <t>{x0</t>
  </si>
  <si>
    <t>{x</t>
  </si>
  <si>
    <t>Freeform</t>
  </si>
  <si>
    <t>NA</t>
  </si>
  <si>
    <t>No furhter stats at this time</t>
  </si>
  <si>
    <t>Y adjust (user input)</t>
  </si>
  <si>
    <t>json code</t>
  </si>
  <si>
    <r>
      <rPr>
        <b/>
        <sz val="12"/>
        <color theme="1"/>
        <rFont val="Calibri"/>
        <family val="2"/>
        <charset val="238"/>
        <scheme val="minor"/>
      </rPr>
      <t>Regresja graficzna wykresów liniowych</t>
    </r>
    <r>
      <rPr>
        <sz val="11"/>
        <color theme="1"/>
        <rFont val="Calibri"/>
        <family val="2"/>
        <charset val="238"/>
        <scheme val="minor"/>
      </rPr>
      <t xml:space="preserve">
1. Na stronie </t>
    </r>
    <r>
      <rPr>
        <b/>
        <u/>
        <sz val="11"/>
        <color theme="1"/>
        <rFont val="Calibri"/>
        <family val="2"/>
        <charset val="238"/>
        <scheme val="minor"/>
      </rPr>
      <t>http://www.graphreader.com/v2</t>
    </r>
    <r>
      <rPr>
        <sz val="11"/>
        <color theme="1"/>
        <rFont val="Calibri"/>
        <family val="2"/>
        <charset val="238"/>
        <scheme val="minor"/>
      </rPr>
      <t xml:space="preserve"> załaduj wybrany wykres liniowy za pomocą pola 'Browse…' lub używając skrótu klawiszowego </t>
    </r>
    <r>
      <rPr>
        <i/>
        <sz val="11"/>
        <color theme="1"/>
        <rFont val="Calibri"/>
        <family val="2"/>
        <charset val="238"/>
        <scheme val="minor"/>
      </rPr>
      <t>ctrl + c</t>
    </r>
    <r>
      <rPr>
        <sz val="11"/>
        <color theme="1"/>
        <rFont val="Calibri"/>
        <family val="2"/>
        <charset val="238"/>
        <scheme val="minor"/>
      </rPr>
      <t>.
2. Dopasuj punktory obszaru roboczego do obszaru wykresu.
3. Wypełnij pola dt. skalowania osi</t>
    </r>
    <r>
      <rPr>
        <i/>
        <sz val="11"/>
        <color theme="1"/>
        <rFont val="Calibri"/>
        <family val="2"/>
        <charset val="238"/>
        <scheme val="minor"/>
      </rPr>
      <t xml:space="preserve"> 'y-high', 'y-low', 'x-high', 'x-low'</t>
    </r>
    <r>
      <rPr>
        <sz val="11"/>
        <color theme="1"/>
        <rFont val="Calibri"/>
        <family val="2"/>
        <charset val="238"/>
        <scheme val="minor"/>
      </rPr>
      <t xml:space="preserve"> na podstawie wartości odczytanych z zamieszczonego wykresu.
4. W oknie </t>
    </r>
    <r>
      <rPr>
        <i/>
        <sz val="11"/>
        <color theme="1"/>
        <rFont val="Calibri"/>
        <family val="2"/>
        <charset val="238"/>
        <scheme val="minor"/>
      </rPr>
      <t>'Sampling intervals (x-axis)</t>
    </r>
    <r>
      <rPr>
        <sz val="11"/>
        <color theme="1"/>
        <rFont val="Calibri"/>
        <family val="2"/>
        <charset val="238"/>
        <scheme val="minor"/>
      </rPr>
      <t xml:space="preserve">'  ustaw odległość między osiami głównymi na osi X wykresu.
5. W oknie </t>
    </r>
    <r>
      <rPr>
        <i/>
        <sz val="11"/>
        <color theme="1"/>
        <rFont val="Calibri"/>
        <family val="2"/>
        <charset val="238"/>
        <scheme val="minor"/>
      </rPr>
      <t>'Sampling method</t>
    </r>
    <r>
      <rPr>
        <sz val="11"/>
        <color theme="1"/>
        <rFont val="Calibri"/>
        <family val="2"/>
        <charset val="238"/>
        <scheme val="minor"/>
      </rPr>
      <t xml:space="preserve">' wybierz opcję </t>
    </r>
    <r>
      <rPr>
        <i/>
        <sz val="11"/>
        <color theme="1"/>
        <rFont val="Calibri"/>
        <family val="2"/>
        <charset val="238"/>
        <scheme val="minor"/>
      </rPr>
      <t>'Point interpolation'</t>
    </r>
    <r>
      <rPr>
        <sz val="11"/>
        <color theme="1"/>
        <rFont val="Calibri"/>
        <family val="2"/>
        <charset val="238"/>
        <scheme val="minor"/>
      </rPr>
      <t xml:space="preserve"> i model liniowy </t>
    </r>
    <r>
      <rPr>
        <i/>
        <sz val="11"/>
        <color theme="1"/>
        <rFont val="Calibri"/>
        <family val="2"/>
        <charset val="238"/>
        <scheme val="minor"/>
      </rPr>
      <t>'Linear'</t>
    </r>
    <r>
      <rPr>
        <sz val="11"/>
        <color theme="1"/>
        <rFont val="Calibri"/>
        <family val="2"/>
        <charset val="238"/>
        <scheme val="minor"/>
      </rPr>
      <t>. 
6. Nad wykresem zaznacz opcję '</t>
    </r>
    <r>
      <rPr>
        <i/>
        <sz val="11"/>
        <color theme="1"/>
        <rFont val="Calibri"/>
        <family val="2"/>
        <charset val="238"/>
        <scheme val="minor"/>
      </rPr>
      <t>Freeform 2D'</t>
    </r>
    <r>
      <rPr>
        <sz val="11"/>
        <color theme="1"/>
        <rFont val="Calibri"/>
        <family val="2"/>
        <charset val="238"/>
        <scheme val="minor"/>
      </rPr>
      <t>. Zaznacz punkty wzdłuż osi, jaka ma zostać wyplotowana.
7. Najedź myszką na 'kluczowe' punkty przecięcia osi na wykresie i upewnij się, że odczytane znad lewego, górnego rogu tabeli '</t>
    </r>
    <r>
      <rPr>
        <i/>
        <sz val="11"/>
        <color theme="1"/>
        <rFont val="Calibri"/>
        <family val="2"/>
        <charset val="238"/>
        <scheme val="minor"/>
      </rPr>
      <t>Mouse: x=(...) y=(...)'</t>
    </r>
    <r>
      <rPr>
        <sz val="11"/>
        <color theme="1"/>
        <rFont val="Calibri"/>
        <family val="2"/>
        <charset val="238"/>
        <scheme val="minor"/>
      </rPr>
      <t xml:space="preserve"> pokrywają się z wartościami na wykresie.
8. W celu wygenerowania koordynatów naciśnij przycisk </t>
    </r>
    <r>
      <rPr>
        <i/>
        <sz val="11"/>
        <color theme="1"/>
        <rFont val="Calibri"/>
        <family val="2"/>
        <charset val="238"/>
        <scheme val="minor"/>
      </rPr>
      <t>'Generate Curve</t>
    </r>
    <r>
      <rPr>
        <sz val="11"/>
        <color theme="1"/>
        <rFont val="Calibri"/>
        <family val="2"/>
        <charset val="238"/>
        <scheme val="minor"/>
      </rPr>
      <t xml:space="preserve">' pod lewym, dolnym rogiem wykresu.
9. Skopiuj wartości X i Y z okna </t>
    </r>
    <r>
      <rPr>
        <i/>
        <sz val="11"/>
        <color theme="1"/>
        <rFont val="Calibri"/>
        <family val="2"/>
        <charset val="238"/>
        <scheme val="minor"/>
      </rPr>
      <t>'Data Output' -&gt; 'Inserted Fixpoints x|y'</t>
    </r>
    <r>
      <rPr>
        <sz val="11"/>
        <color theme="1"/>
        <rFont val="Calibri"/>
        <family val="2"/>
        <charset val="238"/>
        <scheme val="minor"/>
      </rPr>
      <t xml:space="preserve"> do odpowiednich miejsc w kolumnach C i D.
10. Skopiuj zawartość pola '</t>
    </r>
    <r>
      <rPr>
        <i/>
        <sz val="11"/>
        <color theme="1"/>
        <rFont val="Calibri"/>
        <family val="2"/>
        <charset val="238"/>
        <scheme val="minor"/>
      </rPr>
      <t>Codes for quick saving and loading of the above settings</t>
    </r>
    <r>
      <rPr>
        <sz val="11"/>
        <color theme="1"/>
        <rFont val="Calibri"/>
        <family val="2"/>
        <charset val="238"/>
        <scheme val="minor"/>
      </rPr>
      <t xml:space="preserve">' i wklej do komórki C2 klikając uprzednio na nią dwukrotnie.
11. Naciśnij przycisk </t>
    </r>
    <r>
      <rPr>
        <i/>
        <sz val="11"/>
        <color theme="1"/>
        <rFont val="Calibri"/>
        <family val="2"/>
        <charset val="238"/>
        <scheme val="minor"/>
      </rPr>
      <t xml:space="preserve">'Załaduj kod ze strony'.
</t>
    </r>
    <r>
      <rPr>
        <sz val="11"/>
        <color theme="1"/>
        <rFont val="Calibri"/>
        <family val="2"/>
        <charset val="238"/>
        <scheme val="minor"/>
      </rPr>
      <t xml:space="preserve">
Na wykresie można odczytać wartość Y dla zadanej wartości X poprzez wpisanie jej w komórkę</t>
    </r>
    <r>
      <rPr>
        <i/>
        <sz val="11"/>
        <color theme="1"/>
        <rFont val="Calibri"/>
        <family val="2"/>
        <charset val="238"/>
        <scheme val="minor"/>
      </rPr>
      <t xml:space="preserve"> 'I27'</t>
    </r>
    <r>
      <rPr>
        <sz val="11"/>
        <color theme="1"/>
        <rFont val="Calibri"/>
        <family val="2"/>
        <charset val="238"/>
        <scheme val="minor"/>
      </rPr>
      <t>.</t>
    </r>
  </si>
  <si>
    <t>Auto</t>
  </si>
  <si>
    <t>-</t>
  </si>
  <si>
    <t>+</t>
  </si>
  <si>
    <t>doubled x' points values</t>
  </si>
  <si>
    <t>Y iter.</t>
  </si>
  <si>
    <t>Wartosc zadana</t>
  </si>
  <si>
    <t>{input_zoom</t>
  </si>
  <si>
    <t>{graphData:{zoom_f:1,max_zoom:2,min_zoom:0.4,zoom_incr:1.25,img_height:342,img_width:600,mode:Freeform,show_grid_flag:false,mousex:78,mousey:340,axis_box:{x0:77,y0:37,w:473,h:262,rot_degr:0},fixpoints:{x:[93,142,402,502],y:[231,265,179,77]}},uiData:{input_zoom:1,input_rotate:0,check_snapmode:false,check_show_x_grid:false,stats_div:No furhter stats at this time,button_redraw_sampled:Show sampled curve(1),button_redraw_postproc:Show post processed,check_stats:false,radio_mode:Freeform,input_y_high:300,input_y_low:0,input_x_low:0,input_x_high:25,check_logy:false,check_logx:false,check_log_equidist:true,radio_intervals:stepsize,input_stepsize:1,input_intervals:25,check_start_first:true,radio_sampletype:interpolation,radio_linear:linear,select_interp_type:cubic,input_poly_fit_order:1,input_moving_avg_len:5,input_moving_gauss_len:5,input_spline_smoothing:5,input_denoise_window:5,radio_machinetype:basic,radio_postproctype:none,input_precision:4,radio_output:csv,select_csv_format:tab,span_accuracy:NA,check_logy_plot:false,check_logx_plot:false}}</t>
  </si>
  <si>
    <t>502]</t>
  </si>
  <si>
    <t>77]}}</t>
  </si>
  <si>
    <t>[93</t>
  </si>
  <si>
    <t>[231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</si>
</sst>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rgb="FF3F3F76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sz val="12"/>
      <color rgb="FF374151"/>
      <name val="Segoe U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3" fontId="0" fillId="0" borderId="0" xfId="0" applyNumberFormat="1" applyAlignment="1">
      <alignment horizontal="left" vertical="center"/>
    </xf>
    <xf numFmtId="0" fontId="0" fillId="0" borderId="7" xfId="0" applyBorder="1" applyAlignment="1">
      <alignment horizontal="center" vertical="center"/>
    </xf>
    <xf numFmtId="11" fontId="0" fillId="0" borderId="0" xfId="0" applyNumberFormat="1" applyAlignment="1">
      <alignment horizontal="left" vertical="center"/>
    </xf>
    <xf numFmtId="0" fontId="2" fillId="3" borderId="2" xfId="2" applyAlignment="1">
      <alignment horizontal="center" vertical="center"/>
    </xf>
    <xf numFmtId="0" fontId="1" fillId="2" borderId="1" xfId="1" applyAlignment="1">
      <alignment horizontal="center" vertical="center"/>
    </xf>
    <xf numFmtId="2" fontId="2" fillId="3" borderId="2" xfId="2" applyNumberFormat="1" applyAlignment="1">
      <alignment horizontal="center" vertical="center"/>
    </xf>
    <xf numFmtId="0" fontId="1" fillId="2" borderId="10" xfId="1" applyBorder="1" applyAlignment="1">
      <alignment horizontal="left" vertical="center"/>
    </xf>
    <xf numFmtId="0" fontId="1" fillId="2" borderId="1" xfId="1" applyAlignment="1">
      <alignment horizontal="left" vertical="center"/>
    </xf>
    <xf numFmtId="0" fontId="1" fillId="2" borderId="14" xfId="1" applyBorder="1" applyAlignment="1">
      <alignment vertical="center"/>
    </xf>
    <xf numFmtId="0" fontId="7" fillId="2" borderId="1" xfId="1" applyFont="1" applyAlignment="1">
      <alignment horizontal="center" vertical="center"/>
    </xf>
    <xf numFmtId="0" fontId="4" fillId="0" borderId="4" xfId="0" applyFont="1" applyBorder="1"/>
    <xf numFmtId="0" fontId="4" fillId="0" borderId="7" xfId="0" applyFont="1" applyBorder="1"/>
    <xf numFmtId="0" fontId="6" fillId="4" borderId="0" xfId="3" applyFill="1" applyAlignment="1">
      <alignment horizontal="center" vertical="center"/>
    </xf>
    <xf numFmtId="0" fontId="0" fillId="0" borderId="0" xfId="0" applyAlignment="1">
      <alignment horizontal="right"/>
    </xf>
    <xf numFmtId="0" fontId="11" fillId="0" borderId="0" xfId="0" applyFont="1"/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" fillId="2" borderId="1" xfId="1" applyAlignment="1">
      <alignment horizontal="left" vertical="center" wrapText="1"/>
    </xf>
    <xf numFmtId="0" fontId="1" fillId="2" borderId="13" xfId="1" applyBorder="1" applyAlignment="1">
      <alignment horizontal="left" vertical="center" wrapText="1"/>
    </xf>
    <xf numFmtId="0" fontId="1" fillId="2" borderId="14" xfId="1" applyBorder="1" applyAlignment="1">
      <alignment horizontal="left" vertical="center" wrapText="1"/>
    </xf>
    <xf numFmtId="0" fontId="1" fillId="2" borderId="15" xfId="1" applyBorder="1" applyAlignment="1">
      <alignment horizontal="left" vertical="center" wrapText="1"/>
    </xf>
    <xf numFmtId="0" fontId="7" fillId="2" borderId="16" xfId="1" applyFont="1" applyBorder="1" applyAlignment="1">
      <alignment horizontal="left" vertical="center" wrapText="1"/>
    </xf>
    <xf numFmtId="0" fontId="7" fillId="2" borderId="17" xfId="1" applyFont="1" applyBorder="1" applyAlignment="1">
      <alignment horizontal="left" vertical="center" wrapText="1"/>
    </xf>
    <xf numFmtId="0" fontId="0" fillId="0" borderId="18" xfId="0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8" xfId="1" applyFill="1" applyBorder="1" applyAlignment="1">
      <alignment horizontal="center" vertical="center"/>
    </xf>
    <xf numFmtId="2" fontId="2" fillId="0" borderId="18" xfId="2" applyNumberFormat="1" applyFill="1" applyBorder="1" applyAlignment="1">
      <alignment horizontal="center" vertical="center"/>
    </xf>
  </cellXfs>
  <cellStyles count="4">
    <cellStyle name="Dane wejściowe" xfId="1" builtinId="20"/>
    <cellStyle name="Dane wyjściowe" xfId="2" builtinId="21"/>
    <cellStyle name="Hiperłącze" xfId="3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348999841371203E-2"/>
          <c:y val="3.7408223972003503E-2"/>
          <c:w val="0.91651801409715483"/>
          <c:h val="0.90862186314886995"/>
        </c:manualLayout>
      </c:layout>
      <c:scatterChart>
        <c:scatterStyle val="smoothMarker"/>
        <c:varyColors val="0"/>
        <c:ser>
          <c:idx val="6"/>
          <c:order val="0"/>
          <c:tx>
            <c:v>XY z GraphReader</c:v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Arkusz1!$C$6:$C$49</c:f>
              <c:numCache>
                <c:formatCode>General</c:formatCode>
                <c:ptCount val="44"/>
                <c:pt idx="0">
                  <c:v>2.2199</c:v>
                </c:pt>
                <c:pt idx="1">
                  <c:v>3.4355000000000002</c:v>
                </c:pt>
                <c:pt idx="2">
                  <c:v>6.3425000000000002</c:v>
                </c:pt>
                <c:pt idx="3">
                  <c:v>9.6722999999999999</c:v>
                </c:pt>
                <c:pt idx="4">
                  <c:v>12.632099999999999</c:v>
                </c:pt>
                <c:pt idx="5">
                  <c:v>15.539099999999999</c:v>
                </c:pt>
                <c:pt idx="6">
                  <c:v>18.7104</c:v>
                </c:pt>
                <c:pt idx="7">
                  <c:v>21.405899999999999</c:v>
                </c:pt>
                <c:pt idx="8">
                  <c:v>23.308700000000002</c:v>
                </c:pt>
              </c:numCache>
            </c:numRef>
          </c:xVal>
          <c:yVal>
            <c:numRef>
              <c:f>Arkusz1!$D$6:$D$49</c:f>
              <c:numCache>
                <c:formatCode>General</c:formatCode>
                <c:ptCount val="44"/>
                <c:pt idx="0">
                  <c:v>18.320599999999999</c:v>
                </c:pt>
                <c:pt idx="1">
                  <c:v>38.9313</c:v>
                </c:pt>
                <c:pt idx="2">
                  <c:v>69.847300000000004</c:v>
                </c:pt>
                <c:pt idx="3">
                  <c:v>97.328199999999995</c:v>
                </c:pt>
                <c:pt idx="4">
                  <c:v>117.9389</c:v>
                </c:pt>
                <c:pt idx="5">
                  <c:v>127.0992</c:v>
                </c:pt>
                <c:pt idx="6">
                  <c:v>131.67939999999999</c:v>
                </c:pt>
                <c:pt idx="7">
                  <c:v>129.38929999999999</c:v>
                </c:pt>
                <c:pt idx="8">
                  <c:v>125.9542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F2A-4DF9-B449-0B3D0EEFEA25}"/>
            </c:ext>
          </c:extLst>
        </c:ser>
        <c:ser>
          <c:idx val="7"/>
          <c:order val="1"/>
          <c:tx>
            <c:v>Szukane Y</c:v>
          </c:tx>
          <c:spPr>
            <a:ln w="25400">
              <a:noFill/>
            </a:ln>
          </c:spPr>
          <c:dPt>
            <c:idx val="0"/>
            <c:marker>
              <c:symbol val="triangle"/>
              <c:size val="7"/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F2A-4DF9-B449-0B3D0EEFEA25}"/>
              </c:ext>
            </c:extLst>
          </c:dPt>
          <c:dLbls>
            <c:dLbl>
              <c:idx val="0"/>
              <c:layout>
                <c:manualLayout>
                  <c:x val="7.1703389548403492E-3"/>
                  <c:y val="-5.9666277842039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xVal>
            <c:numRef>
              <c:f>Arkusz1!$I$27</c:f>
              <c:numCache>
                <c:formatCode>General</c:formatCode>
                <c:ptCount val="1"/>
              </c:numCache>
            </c:numRef>
          </c:xVal>
          <c:yVal>
            <c:numRef>
              <c:f>Arkusz1!$J$27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7F2A-4DF9-B449-0B3D0EEFEA25}"/>
            </c:ext>
          </c:extLst>
        </c:ser>
        <c:ser>
          <c:idx val="4"/>
          <c:order val="2"/>
          <c:tx>
            <c:v>Szukane 3</c:v>
          </c:tx>
          <c:spPr>
            <a:ln w="25400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0313541920737083E-2"/>
                  <c:y val="-3.38395374451130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xVal>
            <c:numRef>
              <c:f>Arkusz1!$K$30</c:f>
              <c:numCache>
                <c:formatCode>General</c:formatCode>
                <c:ptCount val="1"/>
              </c:numCache>
            </c:numRef>
          </c:xVal>
          <c:yVal>
            <c:numRef>
              <c:f>Arkusz1!$L$30</c:f>
              <c:numCache>
                <c:formatCode>0.00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valAx>
        <c:axId val="2102700032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7026192"/>
        <c:crosses val="autoZero"/>
        <c:crossBetween val="midCat"/>
        <c:majorUnit val="1"/>
      </c:valAx>
      <c:valAx>
        <c:axId val="2107026192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2700032"/>
        <c:crosses val="autoZero"/>
        <c:crossBetween val="midCat"/>
      </c:valAx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161925</xdr:rowOff>
    </xdr:from>
    <xdr:to>
      <xdr:col>18</xdr:col>
      <xdr:colOff>1115787</xdr:colOff>
      <xdr:row>23</xdr:row>
      <xdr:rowOff>171450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4</xdr:col>
          <xdr:colOff>0</xdr:colOff>
          <xdr:row>3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Załaduj kod ze strony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28575</xdr:rowOff>
        </xdr:from>
        <xdr:to>
          <xdr:col>3</xdr:col>
          <xdr:colOff>0</xdr:colOff>
          <xdr:row>3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dane z tabeli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95250</xdr:rowOff>
    </xdr:from>
    <xdr:to>
      <xdr:col>16</xdr:col>
      <xdr:colOff>29904</xdr:colOff>
      <xdr:row>28</xdr:row>
      <xdr:rowOff>95994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95250"/>
          <a:ext cx="9526329" cy="53347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220297</xdr:colOff>
      <xdr:row>61</xdr:row>
      <xdr:rowOff>10351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5715000"/>
          <a:ext cx="8754697" cy="5915851"/>
        </a:xfrm>
        <a:prstGeom prst="rect">
          <a:avLst/>
        </a:prstGeom>
      </xdr:spPr>
    </xdr:pic>
    <xdr:clientData/>
  </xdr:twoCellAnchor>
  <xdr:twoCellAnchor editAs="oneCell">
    <xdr:from>
      <xdr:col>16</xdr:col>
      <xdr:colOff>17318</xdr:colOff>
      <xdr:row>2</xdr:row>
      <xdr:rowOff>103910</xdr:rowOff>
    </xdr:from>
    <xdr:to>
      <xdr:col>31</xdr:col>
      <xdr:colOff>464993</xdr:colOff>
      <xdr:row>26</xdr:row>
      <xdr:rowOff>121228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0" y="484910"/>
          <a:ext cx="9539720" cy="4589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190500</xdr:colOff>
      <xdr:row>29</xdr:row>
      <xdr:rowOff>103909</xdr:rowOff>
    </xdr:from>
    <xdr:to>
      <xdr:col>32</xdr:col>
      <xdr:colOff>263426</xdr:colOff>
      <xdr:row>60</xdr:row>
      <xdr:rowOff>51955</xdr:rowOff>
    </xdr:to>
    <xdr:pic>
      <xdr:nvPicPr>
        <xdr:cNvPr id="6" name="Obraz 5" descr="ProMax®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4818" y="5628409"/>
          <a:ext cx="9164972" cy="5853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BD96F-5582-4701-90D1-61315AAA0313}">
  <sheetPr codeName="Arkusz2"/>
  <dimension ref="A1:DR211"/>
  <sheetViews>
    <sheetView tabSelected="1" topLeftCell="B1" zoomScale="85" zoomScaleNormal="85" workbookViewId="0">
      <selection activeCell="C1" sqref="C1:S1"/>
    </sheetView>
  </sheetViews>
  <sheetFormatPr defaultRowHeight="15" x14ac:dyDescent="0.25"/>
  <cols>
    <col min="1" max="1" width="3.140625" style="14" hidden="1" customWidth="1"/>
    <col min="2" max="2" width="1.28515625" style="5" customWidth="1"/>
    <col min="3" max="4" width="12.28515625" style="5" customWidth="1"/>
    <col min="5" max="5" width="15.140625" style="5" customWidth="1"/>
    <col min="6" max="6" width="15.42578125" style="5" customWidth="1"/>
    <col min="7" max="7" width="13.42578125" style="5" customWidth="1"/>
    <col min="8" max="8" width="9.140625" style="5"/>
    <col min="9" max="9" width="15.85546875" style="5" customWidth="1"/>
    <col min="10" max="10" width="9.140625" style="5"/>
    <col min="11" max="11" width="11.42578125" style="5" customWidth="1"/>
    <col min="12" max="14" width="9.140625" style="5"/>
    <col min="15" max="15" width="11.28515625" style="5" customWidth="1"/>
    <col min="16" max="16" width="10.140625" style="5" customWidth="1"/>
    <col min="17" max="17" width="9.140625" style="5"/>
    <col min="18" max="18" width="6.140625" style="5" customWidth="1"/>
    <col min="19" max="19" width="16.85546875" style="5" customWidth="1"/>
    <col min="20" max="20" width="4.7109375" style="5" customWidth="1"/>
    <col min="21" max="21" width="21.140625" style="9" hidden="1" customWidth="1"/>
    <col min="22" max="22" width="15.28515625" style="5" hidden="1" customWidth="1"/>
    <col min="23" max="24" width="4.85546875" style="5" hidden="1" customWidth="1"/>
    <col min="25" max="122" width="4.85546875" style="5" customWidth="1"/>
    <col min="123" max="16384" width="9.140625" style="5"/>
  </cols>
  <sheetData>
    <row r="1" spans="1:122" ht="234" customHeight="1" x14ac:dyDescent="0.25">
      <c r="A1" s="29"/>
      <c r="C1" s="33" t="s">
        <v>82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5"/>
      <c r="T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</row>
    <row r="2" spans="1:122" x14ac:dyDescent="0.25">
      <c r="C2" s="23" t="s">
        <v>90</v>
      </c>
      <c r="D2" s="15" t="s">
        <v>81</v>
      </c>
      <c r="T2" s="9"/>
      <c r="U2" s="9">
        <v>142</v>
      </c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</row>
    <row r="3" spans="1:122" ht="23.25" customHeight="1" x14ac:dyDescent="0.25">
      <c r="G3" s="9"/>
      <c r="K3" s="16"/>
      <c r="L3" s="16"/>
      <c r="M3" s="16"/>
      <c r="N3" s="16"/>
      <c r="O3" s="16"/>
      <c r="P3" s="16"/>
      <c r="Q3" s="16"/>
      <c r="T3" s="9"/>
      <c r="U3" s="9">
        <v>179</v>
      </c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</row>
    <row r="4" spans="1:122" ht="29.25" customHeight="1" x14ac:dyDescent="0.25">
      <c r="I4" s="17"/>
      <c r="K4" s="16"/>
      <c r="L4" s="16"/>
      <c r="M4" s="16"/>
      <c r="N4" s="16"/>
      <c r="O4" s="16"/>
      <c r="P4" s="16"/>
      <c r="Q4" s="16"/>
      <c r="T4" s="9"/>
      <c r="U4" s="9">
        <v>265</v>
      </c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</row>
    <row r="5" spans="1:122" ht="15.75" customHeight="1" x14ac:dyDescent="0.25">
      <c r="A5" s="14" t="s">
        <v>84</v>
      </c>
      <c r="B5" s="32" t="s">
        <v>85</v>
      </c>
      <c r="C5" s="6"/>
      <c r="D5" s="6"/>
      <c r="E5" s="7" t="s">
        <v>1</v>
      </c>
      <c r="F5" s="7" t="s">
        <v>2</v>
      </c>
      <c r="G5" s="12"/>
      <c r="I5" s="9"/>
      <c r="K5" s="16"/>
      <c r="L5" s="16"/>
      <c r="M5" s="16"/>
      <c r="N5" s="16"/>
      <c r="O5" s="16"/>
      <c r="P5" s="16"/>
      <c r="Q5" s="16"/>
      <c r="T5" s="9"/>
      <c r="U5" s="9">
        <v>402</v>
      </c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</row>
    <row r="6" spans="1:122" ht="17.25" x14ac:dyDescent="0.3">
      <c r="A6" s="31">
        <f t="shared" ref="A6:A7" si="0">IF(OR($I$27&gt;=C6,$I$27&lt;=C7),1,0)</f>
        <v>1</v>
      </c>
      <c r="B6" s="18">
        <f>IF(AND(C6&lt;=$I$27,$I$27&lt;=C7),1,0)</f>
        <v>0</v>
      </c>
      <c r="C6" s="21">
        <v>2.2199</v>
      </c>
      <c r="D6" s="21">
        <v>18.320599999999999</v>
      </c>
      <c r="E6" s="10" cm="1">
        <f t="array" ref="E6:F6">LINEST(D6:D7,C6:C7)</f>
        <v>16.955166173083249</v>
      </c>
      <c r="F6" s="10">
        <v>-19.318173387627507</v>
      </c>
      <c r="G6" s="13">
        <f>E6*$I$27+$F6</f>
        <v>-19.318173387627507</v>
      </c>
      <c r="K6" s="16"/>
      <c r="L6" s="16"/>
      <c r="M6" s="16"/>
      <c r="N6" s="16"/>
      <c r="O6" s="16"/>
      <c r="P6" s="16"/>
      <c r="Q6" s="16"/>
      <c r="T6" s="9"/>
      <c r="U6" s="9" t="s">
        <v>73</v>
      </c>
      <c r="V6" s="9" t="s">
        <v>74</v>
      </c>
      <c r="W6" s="9">
        <v>1</v>
      </c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</row>
    <row r="7" spans="1:122" ht="17.25" x14ac:dyDescent="0.3">
      <c r="A7" s="31">
        <f t="shared" si="0"/>
        <v>1</v>
      </c>
      <c r="B7" s="18">
        <f t="shared" ref="B7:B70" si="1">IF(AND(C7&lt;=$I$27,$I$27&lt;=C8),1,0)</f>
        <v>0</v>
      </c>
      <c r="C7" s="21">
        <v>3.4355000000000002</v>
      </c>
      <c r="D7" s="21">
        <v>38.9313</v>
      </c>
      <c r="E7" s="10" cm="1">
        <f t="array" ref="E7:F7">LINEST(D7:D8,C7:C8)</f>
        <v>10.635018919848644</v>
      </c>
      <c r="F7" s="10">
        <v>2.394692500859982</v>
      </c>
      <c r="G7" s="13">
        <f t="shared" ref="G7:G70" si="2">E7*$I$27+$F7</f>
        <v>2.394692500859982</v>
      </c>
      <c r="K7" s="16"/>
      <c r="L7" s="16"/>
      <c r="M7" s="16"/>
      <c r="N7" s="16"/>
      <c r="O7" s="16"/>
      <c r="P7" s="16"/>
      <c r="Q7" s="16"/>
      <c r="T7" s="9"/>
      <c r="U7" s="9" t="s">
        <v>91</v>
      </c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</row>
    <row r="8" spans="1:122" ht="17.25" x14ac:dyDescent="0.3">
      <c r="A8" s="31">
        <f>IF(OR($I$27&gt;=C8,$I$27&lt;=C9),1,0)</f>
        <v>1</v>
      </c>
      <c r="B8" s="18">
        <f t="shared" si="1"/>
        <v>0</v>
      </c>
      <c r="C8" s="21">
        <v>6.3425000000000002</v>
      </c>
      <c r="D8" s="21">
        <v>69.847300000000004</v>
      </c>
      <c r="E8" s="10" cm="1">
        <f t="array" ref="E8:F8">LINEST(D8:D9,C8:C9)</f>
        <v>8.2530181992912457</v>
      </c>
      <c r="F8" s="10">
        <v>17.502532070995272</v>
      </c>
      <c r="G8" s="13">
        <f t="shared" si="2"/>
        <v>17.502532070995272</v>
      </c>
      <c r="K8" s="16"/>
      <c r="L8" s="16"/>
      <c r="M8" s="16"/>
      <c r="N8" s="16"/>
      <c r="O8" s="16"/>
      <c r="P8" s="16"/>
      <c r="Q8" s="16"/>
      <c r="T8" s="9"/>
      <c r="U8" s="9" t="s">
        <v>92</v>
      </c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</row>
    <row r="9" spans="1:122" ht="17.25" x14ac:dyDescent="0.3">
      <c r="A9" s="31">
        <f t="shared" ref="A9:A40" si="3">IF(OR($I$27&gt;=C9,$I$27&lt;=C10),1,0)</f>
        <v>1</v>
      </c>
      <c r="B9" s="18">
        <f t="shared" si="1"/>
        <v>0</v>
      </c>
      <c r="C9" s="21">
        <v>9.6722999999999999</v>
      </c>
      <c r="D9" s="21">
        <v>97.328199999999995</v>
      </c>
      <c r="E9" s="10" cm="1">
        <f t="array" ref="E9:F9">LINEST(D9:D10,C9:C10)</f>
        <v>6.963544834110416</v>
      </c>
      <c r="F9" s="10">
        <v>29.974705301033808</v>
      </c>
      <c r="G9" s="13">
        <f t="shared" si="2"/>
        <v>29.974705301033808</v>
      </c>
      <c r="K9" s="16"/>
      <c r="L9" s="16"/>
      <c r="M9" s="16"/>
      <c r="N9" s="16"/>
      <c r="O9" s="16"/>
      <c r="P9" s="16"/>
      <c r="Q9" s="16"/>
      <c r="T9" s="9"/>
      <c r="U9" s="9" t="s">
        <v>12</v>
      </c>
      <c r="V9" s="9" t="s">
        <v>75</v>
      </c>
      <c r="W9" s="9">
        <v>77</v>
      </c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</row>
    <row r="10" spans="1:122" ht="15" customHeight="1" x14ac:dyDescent="0.3">
      <c r="A10" s="31">
        <f t="shared" si="3"/>
        <v>1</v>
      </c>
      <c r="B10" s="18">
        <f t="shared" si="1"/>
        <v>0</v>
      </c>
      <c r="C10" s="21">
        <v>12.632099999999999</v>
      </c>
      <c r="D10" s="21">
        <v>117.9389</v>
      </c>
      <c r="E10" s="10" cm="1">
        <f t="array" ref="E10:F10">LINEST(D10:D11,C10:C11)</f>
        <v>3.1511179910560698</v>
      </c>
      <c r="F10" s="10">
        <v>78.133662425180617</v>
      </c>
      <c r="G10" s="13">
        <f t="shared" si="2"/>
        <v>78.133662425180617</v>
      </c>
      <c r="K10" s="16"/>
      <c r="L10" s="16"/>
      <c r="M10" s="16"/>
      <c r="N10" s="16"/>
      <c r="O10" s="16"/>
      <c r="P10" s="16"/>
      <c r="Q10" s="16"/>
      <c r="T10" s="9"/>
      <c r="U10" s="9" t="s">
        <v>26</v>
      </c>
      <c r="V10" s="9" t="s">
        <v>27</v>
      </c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</row>
    <row r="11" spans="1:122" ht="17.25" x14ac:dyDescent="0.3">
      <c r="A11" s="31">
        <f t="shared" si="3"/>
        <v>1</v>
      </c>
      <c r="B11" s="18">
        <f t="shared" si="1"/>
        <v>0</v>
      </c>
      <c r="C11" s="21">
        <v>15.539099999999999</v>
      </c>
      <c r="D11" s="21">
        <v>127.0992</v>
      </c>
      <c r="E11" s="10" cm="1">
        <f t="array" ref="E11:F11">LINEST(D11:D12,C11:C12)</f>
        <v>1.4442657585217389</v>
      </c>
      <c r="F11" s="10">
        <v>104.65660995175485</v>
      </c>
      <c r="G11" s="13">
        <f t="shared" si="2"/>
        <v>104.65660995175485</v>
      </c>
      <c r="T11" s="9"/>
      <c r="U11" s="9" t="s">
        <v>24</v>
      </c>
      <c r="V11" s="9" t="s">
        <v>25</v>
      </c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</row>
    <row r="12" spans="1:122" ht="17.25" x14ac:dyDescent="0.3">
      <c r="A12" s="31">
        <f t="shared" si="3"/>
        <v>1</v>
      </c>
      <c r="B12" s="18">
        <f t="shared" si="1"/>
        <v>0</v>
      </c>
      <c r="C12" s="21">
        <v>18.7104</v>
      </c>
      <c r="D12" s="21">
        <v>131.67939999999999</v>
      </c>
      <c r="E12" s="10" cm="1">
        <f t="array" ref="E12:F12">LINEST(D12:D13,C12:C13)</f>
        <v>-0.84960118716378996</v>
      </c>
      <c r="F12" s="10">
        <v>147.57577805230937</v>
      </c>
      <c r="G12" s="13">
        <f t="shared" si="2"/>
        <v>147.57577805230937</v>
      </c>
      <c r="T12" s="9"/>
      <c r="U12" s="9" t="s">
        <v>36</v>
      </c>
      <c r="V12" s="9" t="b">
        <v>1</v>
      </c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</row>
    <row r="13" spans="1:122" ht="17.25" x14ac:dyDescent="0.3">
      <c r="A13" s="31">
        <f t="shared" si="3"/>
        <v>1</v>
      </c>
      <c r="B13" s="18">
        <f t="shared" si="1"/>
        <v>0</v>
      </c>
      <c r="C13" s="21">
        <v>21.405899999999999</v>
      </c>
      <c r="D13" s="21">
        <v>129.38929999999999</v>
      </c>
      <c r="E13" s="10" cm="1">
        <f t="array" ref="E13:F13">LINEST(D13:D14,C13:C14)</f>
        <v>-1.8052869455539136</v>
      </c>
      <c r="F13" s="10">
        <v>168.03309182783252</v>
      </c>
      <c r="G13" s="13">
        <f t="shared" si="2"/>
        <v>168.03309182783252</v>
      </c>
      <c r="T13" s="9"/>
      <c r="U13" s="9" t="s">
        <v>35</v>
      </c>
      <c r="V13" s="9" t="b">
        <v>0</v>
      </c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</row>
    <row r="14" spans="1:122" ht="17.25" x14ac:dyDescent="0.3">
      <c r="A14" s="31">
        <f t="shared" si="3"/>
        <v>1</v>
      </c>
      <c r="B14" s="18">
        <f t="shared" si="1"/>
        <v>0</v>
      </c>
      <c r="C14" s="21">
        <v>23.308700000000002</v>
      </c>
      <c r="D14" s="21">
        <v>125.9542</v>
      </c>
      <c r="E14" s="10" t="e" cm="1">
        <f t="array" ref="E14">LINEST(D14:D15,C14:C15)</f>
        <v>#VALUE!</v>
      </c>
      <c r="F14" s="10"/>
      <c r="G14" s="13" t="e">
        <f t="shared" si="2"/>
        <v>#VALUE!</v>
      </c>
      <c r="T14" s="9"/>
      <c r="U14" s="9" t="s">
        <v>64</v>
      </c>
      <c r="V14" s="9" t="s">
        <v>65</v>
      </c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</row>
    <row r="15" spans="1:122" ht="17.25" x14ac:dyDescent="0.3">
      <c r="A15" s="31">
        <f t="shared" si="3"/>
        <v>1</v>
      </c>
      <c r="B15" s="18">
        <f t="shared" si="1"/>
        <v>1</v>
      </c>
      <c r="C15" s="21"/>
      <c r="D15" s="21"/>
      <c r="E15" s="10" t="e" cm="1">
        <f t="array" ref="E15">LINEST(D15:D16,C15:C16)</f>
        <v>#VALUE!</v>
      </c>
      <c r="F15" s="10"/>
      <c r="G15" s="13" t="e">
        <f t="shared" si="2"/>
        <v>#VALUE!</v>
      </c>
      <c r="T15" s="9"/>
      <c r="U15" s="9" t="s">
        <v>34</v>
      </c>
      <c r="V15" s="9" t="b">
        <v>0</v>
      </c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</row>
    <row r="16" spans="1:122" ht="17.25" x14ac:dyDescent="0.3">
      <c r="A16" s="31">
        <f t="shared" si="3"/>
        <v>1</v>
      </c>
      <c r="B16" s="18">
        <f t="shared" si="1"/>
        <v>1</v>
      </c>
      <c r="C16" s="21"/>
      <c r="D16" s="21"/>
      <c r="E16" s="10" t="e" cm="1">
        <f t="array" ref="E16">LINEST(D16:D17,C16:C17)</f>
        <v>#VALUE!</v>
      </c>
      <c r="F16" s="10"/>
      <c r="G16" s="13" t="e">
        <f t="shared" si="2"/>
        <v>#VALUE!</v>
      </c>
      <c r="T16" s="9"/>
      <c r="U16" s="9" t="s">
        <v>63</v>
      </c>
      <c r="V16" s="9" t="b">
        <v>0</v>
      </c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</row>
    <row r="17" spans="1:122" ht="17.25" x14ac:dyDescent="0.3">
      <c r="A17" s="31">
        <f t="shared" si="3"/>
        <v>1</v>
      </c>
      <c r="B17" s="18">
        <f t="shared" si="1"/>
        <v>1</v>
      </c>
      <c r="C17" s="21"/>
      <c r="D17" s="21"/>
      <c r="E17" s="10" t="e" cm="1">
        <f t="array" ref="E17">LINEST(D17:D18,C17:C18)</f>
        <v>#VALUE!</v>
      </c>
      <c r="F17" s="10"/>
      <c r="G17" s="13" t="e">
        <f t="shared" si="2"/>
        <v>#VALUE!</v>
      </c>
      <c r="T17" s="9"/>
      <c r="U17" s="9" t="s">
        <v>22</v>
      </c>
      <c r="V17" s="9" t="b">
        <v>0</v>
      </c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</row>
    <row r="18" spans="1:122" ht="17.25" x14ac:dyDescent="0.3">
      <c r="A18" s="31">
        <f t="shared" si="3"/>
        <v>1</v>
      </c>
      <c r="B18" s="18">
        <f t="shared" si="1"/>
        <v>1</v>
      </c>
      <c r="C18" s="21"/>
      <c r="D18" s="21"/>
      <c r="E18" s="10" t="e" cm="1">
        <f t="array" ref="E18">LINEST(D18:D19,C18:C19)</f>
        <v>#VALUE!</v>
      </c>
      <c r="F18" s="10"/>
      <c r="G18" s="13" t="e">
        <f t="shared" si="2"/>
        <v>#VALUE!</v>
      </c>
      <c r="T18" s="9"/>
      <c r="U18" s="9" t="s">
        <v>21</v>
      </c>
      <c r="V18" s="9" t="b">
        <v>0</v>
      </c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</row>
    <row r="19" spans="1:122" ht="17.25" x14ac:dyDescent="0.3">
      <c r="A19" s="31">
        <f t="shared" si="3"/>
        <v>1</v>
      </c>
      <c r="B19" s="18">
        <f t="shared" si="1"/>
        <v>1</v>
      </c>
      <c r="C19" s="21"/>
      <c r="D19" s="21"/>
      <c r="E19" s="10" t="e" cm="1">
        <f t="array" ref="E19">LINEST(D19:D20,C19:C20)</f>
        <v>#VALUE!</v>
      </c>
      <c r="F19" s="10"/>
      <c r="G19" s="13" t="e">
        <f t="shared" si="2"/>
        <v>#VALUE!</v>
      </c>
      <c r="T19" s="9"/>
      <c r="U19" s="9" t="s">
        <v>41</v>
      </c>
      <c r="V19" s="9" t="b">
        <v>1</v>
      </c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</row>
    <row r="20" spans="1:122" ht="17.25" x14ac:dyDescent="0.3">
      <c r="A20" s="31">
        <f t="shared" si="3"/>
        <v>1</v>
      </c>
      <c r="B20" s="18">
        <f t="shared" si="1"/>
        <v>1</v>
      </c>
      <c r="C20" s="21"/>
      <c r="D20" s="21"/>
      <c r="E20" s="10" t="e" cm="1">
        <f t="array" ref="E20">LINEST(D20:D21,C20:C21)</f>
        <v>#VALUE!</v>
      </c>
      <c r="F20" s="10"/>
      <c r="G20" s="13" t="e">
        <f t="shared" si="2"/>
        <v>#VALUE!</v>
      </c>
      <c r="T20" s="9"/>
      <c r="U20" s="9" t="s">
        <v>28</v>
      </c>
      <c r="V20" s="9" t="b">
        <v>0</v>
      </c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</row>
    <row r="21" spans="1:122" ht="17.25" x14ac:dyDescent="0.3">
      <c r="A21" s="31">
        <f t="shared" si="3"/>
        <v>1</v>
      </c>
      <c r="B21" s="18">
        <f t="shared" si="1"/>
        <v>1</v>
      </c>
      <c r="C21" s="21"/>
      <c r="D21" s="21"/>
      <c r="E21" s="10" t="e" cm="1">
        <f t="array" ref="E21">LINEST(D21:D22,C21:C22)</f>
        <v>#VALUE!</v>
      </c>
      <c r="F21" s="10"/>
      <c r="G21" s="13" t="e">
        <f t="shared" si="2"/>
        <v>#VALUE!</v>
      </c>
      <c r="T21" s="9"/>
      <c r="U21" s="9" t="s">
        <v>18</v>
      </c>
      <c r="V21" s="9" t="s">
        <v>76</v>
      </c>
      <c r="W21" s="9" t="s">
        <v>93</v>
      </c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</row>
    <row r="22" spans="1:122" ht="17.25" x14ac:dyDescent="0.3">
      <c r="A22" s="31">
        <f t="shared" si="3"/>
        <v>1</v>
      </c>
      <c r="B22" s="18">
        <f t="shared" si="1"/>
        <v>1</v>
      </c>
      <c r="C22" s="21"/>
      <c r="D22" s="21"/>
      <c r="E22" s="10" t="e" cm="1">
        <f t="array" ref="E22">LINEST(D22:D23,C22:C23)</f>
        <v>#VALUE!</v>
      </c>
      <c r="F22" s="10"/>
      <c r="G22" s="13" t="e">
        <f t="shared" si="2"/>
        <v>#VALUE!</v>
      </c>
      <c r="T22" s="9"/>
      <c r="U22" s="9" t="s">
        <v>15</v>
      </c>
      <c r="V22" s="9">
        <v>262</v>
      </c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</row>
    <row r="23" spans="1:122" ht="17.25" x14ac:dyDescent="0.3">
      <c r="A23" s="31">
        <f t="shared" si="3"/>
        <v>1</v>
      </c>
      <c r="B23" s="18">
        <f t="shared" si="1"/>
        <v>1</v>
      </c>
      <c r="C23" s="21"/>
      <c r="D23" s="21"/>
      <c r="E23" s="10" t="e" cm="1">
        <f t="array" ref="E23">LINEST(D23:D24,C23:C24)</f>
        <v>#VALUE!</v>
      </c>
      <c r="F23" s="10"/>
      <c r="G23" s="13" t="e">
        <f t="shared" si="2"/>
        <v>#VALUE!</v>
      </c>
      <c r="T23" s="9"/>
      <c r="U23" s="9" t="s">
        <v>6</v>
      </c>
      <c r="V23" s="9">
        <v>342</v>
      </c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</row>
    <row r="24" spans="1:122" ht="17.25" x14ac:dyDescent="0.3">
      <c r="A24" s="31">
        <f t="shared" si="3"/>
        <v>1</v>
      </c>
      <c r="B24" s="18">
        <f t="shared" si="1"/>
        <v>1</v>
      </c>
      <c r="C24" s="21"/>
      <c r="D24" s="21"/>
      <c r="E24" s="10" t="e" cm="1">
        <f t="array" ref="E24">LINEST(D24:D25,C24:C25)</f>
        <v>#VALUE!</v>
      </c>
      <c r="F24" s="10"/>
      <c r="G24" s="13" t="e">
        <f t="shared" si="2"/>
        <v>#VALUE!</v>
      </c>
      <c r="T24" s="9"/>
      <c r="U24" s="9" t="s">
        <v>7</v>
      </c>
      <c r="V24" s="9">
        <v>600</v>
      </c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</row>
    <row r="25" spans="1:122" ht="17.25" x14ac:dyDescent="0.3">
      <c r="A25" s="31">
        <f t="shared" si="3"/>
        <v>1</v>
      </c>
      <c r="B25" s="18">
        <f t="shared" si="1"/>
        <v>1</v>
      </c>
      <c r="C25" s="21"/>
      <c r="D25" s="21"/>
      <c r="E25" s="10" t="e" cm="1">
        <f t="array" ref="E25">LINEST(D25:D26,C25:C26)</f>
        <v>#VALUE!</v>
      </c>
      <c r="F25" s="10"/>
      <c r="G25" s="13" t="e">
        <f t="shared" si="2"/>
        <v>#VALUE!</v>
      </c>
      <c r="T25" s="9"/>
      <c r="U25" s="9" t="s">
        <v>52</v>
      </c>
      <c r="V25" s="9">
        <v>5</v>
      </c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</row>
    <row r="26" spans="1:122" ht="17.25" x14ac:dyDescent="0.3">
      <c r="A26" s="31">
        <f t="shared" si="3"/>
        <v>1</v>
      </c>
      <c r="B26" s="18">
        <f t="shared" si="1"/>
        <v>1</v>
      </c>
      <c r="C26" s="21"/>
      <c r="D26" s="21"/>
      <c r="E26" s="10" t="e" cm="1">
        <f t="array" ref="E26">LINEST(D26:D27,C26:C27)</f>
        <v>#VALUE!</v>
      </c>
      <c r="F26" s="10"/>
      <c r="G26" s="13" t="e">
        <f t="shared" si="2"/>
        <v>#VALUE!</v>
      </c>
      <c r="I26" s="26" t="s">
        <v>88</v>
      </c>
      <c r="J26" s="20" t="s">
        <v>87</v>
      </c>
      <c r="M26" s="9"/>
      <c r="O26" s="27" t="s">
        <v>68</v>
      </c>
      <c r="P26" s="1">
        <f>VLOOKUP("input_x_low",U2:W207,2,FALSE)</f>
        <v>0</v>
      </c>
      <c r="Q26" s="1" t="str" cm="1">
        <f t="array" ref="Q26">setchartaxis("arkusz1","Wykres 1","Min","Category","Primary",P26)</f>
        <v>Category Primary Min: 0</v>
      </c>
      <c r="R26" s="1"/>
      <c r="S26" s="2"/>
      <c r="T26" s="9"/>
      <c r="U26" s="9" t="s">
        <v>40</v>
      </c>
      <c r="V26" s="9">
        <v>25</v>
      </c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</row>
    <row r="27" spans="1:122" ht="17.25" x14ac:dyDescent="0.3">
      <c r="A27" s="31">
        <f t="shared" si="3"/>
        <v>1</v>
      </c>
      <c r="B27" s="18">
        <f t="shared" si="1"/>
        <v>1</v>
      </c>
      <c r="C27" s="21"/>
      <c r="D27" s="21"/>
      <c r="E27" s="10" t="e" cm="1">
        <f t="array" ref="E27">LINEST(D27:D28,C27:C28)</f>
        <v>#VALUE!</v>
      </c>
      <c r="F27" s="10"/>
      <c r="G27" s="13" t="e">
        <f t="shared" si="2"/>
        <v>#VALUE!</v>
      </c>
      <c r="I27" s="21"/>
      <c r="J27" s="22" t="e">
        <f>VLOOKUP(1,B6:G113,6,FALSE)</f>
        <v>#VALUE!</v>
      </c>
      <c r="L27" s="9"/>
      <c r="O27" s="28" t="s">
        <v>69</v>
      </c>
      <c r="P27">
        <f>VLOOKUP("input_x_high",U3:W208,2,FALSE)</f>
        <v>25</v>
      </c>
      <c r="Q27" t="str" cm="1">
        <f t="array" ref="Q27">setchartaxis("arkusz1","Wykres 1","Max","Category","Primary",P27)</f>
        <v>Category Primary Max: 25</v>
      </c>
      <c r="R27"/>
      <c r="S27" s="3"/>
      <c r="T27" s="9"/>
      <c r="U27" s="9" t="s">
        <v>49</v>
      </c>
      <c r="V27" s="9">
        <v>5</v>
      </c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</row>
    <row r="28" spans="1:122" ht="17.25" x14ac:dyDescent="0.3">
      <c r="A28" s="31">
        <f t="shared" si="3"/>
        <v>1</v>
      </c>
      <c r="B28" s="18">
        <f t="shared" si="1"/>
        <v>1</v>
      </c>
      <c r="C28" s="21"/>
      <c r="D28" s="21"/>
      <c r="E28" s="10" t="e" cm="1">
        <f t="array" ref="E28">LINEST(D28:D29,C28:C29)</f>
        <v>#VALUE!</v>
      </c>
      <c r="F28" s="10"/>
      <c r="G28" s="13" t="e">
        <f t="shared" si="2"/>
        <v>#VALUE!</v>
      </c>
      <c r="O28" s="28" t="s">
        <v>70</v>
      </c>
      <c r="P28">
        <f>VLOOKUP("input_stepsize",U2:W207,2,FALSE)</f>
        <v>1</v>
      </c>
      <c r="Q28" t="str" cm="1">
        <f t="array" ref="Q28">setchartaxis("arkusz1","Wykres 1","Major","Unit","Secondary",P28)</f>
        <v>Unit Secondary Major: 1</v>
      </c>
      <c r="R28"/>
      <c r="S28" s="3"/>
      <c r="T28" s="9"/>
      <c r="U28" s="9" t="s">
        <v>50</v>
      </c>
      <c r="V28" s="9">
        <v>5</v>
      </c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</row>
    <row r="29" spans="1:122" ht="17.25" x14ac:dyDescent="0.3">
      <c r="A29" s="31">
        <f t="shared" si="3"/>
        <v>1</v>
      </c>
      <c r="B29" s="18">
        <f t="shared" si="1"/>
        <v>1</v>
      </c>
      <c r="C29" s="21"/>
      <c r="D29" s="21"/>
      <c r="E29" s="10" t="e" cm="1">
        <f t="array" ref="E29">LINEST(D29:D30,C29:C30)</f>
        <v>#VALUE!</v>
      </c>
      <c r="F29" s="10"/>
      <c r="G29" s="13" t="e">
        <f t="shared" si="2"/>
        <v>#VALUE!</v>
      </c>
      <c r="I29" s="42"/>
      <c r="J29" s="43"/>
      <c r="K29" s="44" t="s">
        <v>86</v>
      </c>
      <c r="L29" s="44"/>
      <c r="O29" s="28"/>
      <c r="P29"/>
      <c r="Q29"/>
      <c r="R29"/>
      <c r="S29" s="3"/>
      <c r="T29" s="9"/>
      <c r="U29" s="9" t="s">
        <v>48</v>
      </c>
      <c r="V29" s="9">
        <v>1</v>
      </c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</row>
    <row r="30" spans="1:122" ht="17.25" x14ac:dyDescent="0.3">
      <c r="A30" s="31">
        <f t="shared" si="3"/>
        <v>1</v>
      </c>
      <c r="B30" s="18">
        <f t="shared" si="1"/>
        <v>1</v>
      </c>
      <c r="C30" s="21"/>
      <c r="D30" s="21"/>
      <c r="E30" s="10" t="e" cm="1">
        <f t="array" ref="E30">LINEST(D30:D31,C30:C31)</f>
        <v>#VALUE!</v>
      </c>
      <c r="F30" s="10"/>
      <c r="G30" s="13" t="e">
        <f t="shared" si="2"/>
        <v>#VALUE!</v>
      </c>
      <c r="I30" s="45"/>
      <c r="J30" s="46" t="e">
        <v>#VALUE!</v>
      </c>
      <c r="K30" s="45"/>
      <c r="L30" s="46"/>
      <c r="M30" s="9"/>
      <c r="O30" s="28" t="s">
        <v>66</v>
      </c>
      <c r="P30">
        <f>VLOOKUP("input_y_low",U2:W207,2,FALSE)</f>
        <v>0</v>
      </c>
      <c r="Q30" t="str" cm="1">
        <f t="array" ref="Q30">setchartaxis("arkusz1","Wykres 1","Min","Value","Primary",P30)</f>
        <v>Value Primary Min: 0</v>
      </c>
      <c r="R30"/>
      <c r="S30" s="3"/>
      <c r="T30" s="9"/>
      <c r="U30" s="9" t="s">
        <v>57</v>
      </c>
      <c r="V30" s="9">
        <v>4</v>
      </c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</row>
    <row r="31" spans="1:122" ht="17.25" x14ac:dyDescent="0.3">
      <c r="A31" s="31">
        <f t="shared" si="3"/>
        <v>1</v>
      </c>
      <c r="B31" s="18">
        <f t="shared" si="1"/>
        <v>1</v>
      </c>
      <c r="C31" s="21"/>
      <c r="D31" s="21"/>
      <c r="E31" s="10" t="e" cm="1">
        <f t="array" ref="E31">LINEST(D31:D32,C31:C32)</f>
        <v>#VALUE!</v>
      </c>
      <c r="F31" s="10"/>
      <c r="G31" s="13" t="e">
        <f t="shared" si="2"/>
        <v>#VALUE!</v>
      </c>
      <c r="I31" s="45"/>
      <c r="J31" s="46" t="e">
        <v>#VALUE!</v>
      </c>
      <c r="K31" s="42"/>
      <c r="L31" s="42"/>
      <c r="M31" s="9"/>
      <c r="O31" s="28" t="s">
        <v>67</v>
      </c>
      <c r="P31">
        <f>VLOOKUP("input_y_high",U2:W207,2,FALSE)</f>
        <v>300</v>
      </c>
      <c r="Q31" t="str" cm="1">
        <f t="array" ref="Q31">setchartaxis("arkusz1","Wykres 1","Max","Value","Primary",P31)</f>
        <v>Value Primary Max: 300</v>
      </c>
      <c r="R31"/>
      <c r="S31" s="3"/>
      <c r="T31" s="9"/>
      <c r="U31" s="9" t="s">
        <v>20</v>
      </c>
      <c r="V31" s="9">
        <v>0</v>
      </c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</row>
    <row r="32" spans="1:122" ht="17.25" x14ac:dyDescent="0.3">
      <c r="A32" s="31">
        <f t="shared" si="3"/>
        <v>1</v>
      </c>
      <c r="B32" s="18">
        <f t="shared" si="1"/>
        <v>1</v>
      </c>
      <c r="C32" s="21"/>
      <c r="D32" s="21"/>
      <c r="E32" s="10" t="e" cm="1">
        <f t="array" ref="E32">LINEST(D32:D33,C32:C33)</f>
        <v>#VALUE!</v>
      </c>
      <c r="F32" s="10"/>
      <c r="G32" s="13" t="e">
        <f t="shared" si="2"/>
        <v>#VALUE!</v>
      </c>
      <c r="J32" s="5" t="e">
        <v>#VALUE!</v>
      </c>
      <c r="O32" s="28" t="s">
        <v>71</v>
      </c>
      <c r="P32" s="30" t="s">
        <v>83</v>
      </c>
      <c r="Q32" t="str" cm="1">
        <f t="array" ref="Q32">setchartaxis("arkusz1","Wykres 1","Major","Unit","Primary",)</f>
        <v>Unit Primary Major: Auto</v>
      </c>
      <c r="R32"/>
      <c r="S32" s="3"/>
      <c r="T32" s="9"/>
      <c r="U32" s="9" t="s">
        <v>51</v>
      </c>
      <c r="V32" s="9">
        <v>5</v>
      </c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</row>
    <row r="33" spans="1:122" ht="17.25" x14ac:dyDescent="0.3">
      <c r="A33" s="31">
        <f t="shared" si="3"/>
        <v>1</v>
      </c>
      <c r="B33" s="18">
        <f t="shared" si="1"/>
        <v>1</v>
      </c>
      <c r="C33" s="21"/>
      <c r="D33" s="21"/>
      <c r="E33" s="10" t="e" cm="1">
        <f t="array" ref="E33">LINEST(D33:D34,C33:C34)</f>
        <v>#VALUE!</v>
      </c>
      <c r="F33" s="10"/>
      <c r="G33" s="13" t="e">
        <f t="shared" si="2"/>
        <v>#VALUE!</v>
      </c>
      <c r="J33" s="5" t="e">
        <v>#VALUE!</v>
      </c>
      <c r="L33" s="4"/>
      <c r="M33" s="4"/>
      <c r="O33" s="40" t="s">
        <v>80</v>
      </c>
      <c r="P33" s="24">
        <v>50</v>
      </c>
      <c r="Q33" s="36" t="s">
        <v>72</v>
      </c>
      <c r="R33" s="36"/>
      <c r="S33" s="37"/>
      <c r="T33" s="9"/>
      <c r="U33" s="9" t="s">
        <v>39</v>
      </c>
      <c r="V33" s="9">
        <v>1</v>
      </c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</row>
    <row r="34" spans="1:122" ht="17.25" x14ac:dyDescent="0.3">
      <c r="A34" s="31">
        <f t="shared" si="3"/>
        <v>1</v>
      </c>
      <c r="B34" s="18">
        <f t="shared" si="1"/>
        <v>1</v>
      </c>
      <c r="C34" s="21"/>
      <c r="D34" s="21"/>
      <c r="E34" s="10" t="e" cm="1">
        <f t="array" ref="E34">LINEST(D34:D35,C34:C35)</f>
        <v>#VALUE!</v>
      </c>
      <c r="F34" s="10"/>
      <c r="G34" s="13" t="e">
        <f t="shared" si="2"/>
        <v>#VALUE!</v>
      </c>
      <c r="J34" s="5" t="e">
        <v>#VALUE!</v>
      </c>
      <c r="M34" s="4"/>
      <c r="O34" s="41"/>
      <c r="P34" s="25"/>
      <c r="Q34" s="38"/>
      <c r="R34" s="38"/>
      <c r="S34" s="39"/>
      <c r="T34" s="9"/>
      <c r="U34" s="9" t="s">
        <v>33</v>
      </c>
      <c r="V34" s="9">
        <v>25</v>
      </c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</row>
    <row r="35" spans="1:122" ht="17.25" x14ac:dyDescent="0.3">
      <c r="A35" s="31">
        <f t="shared" si="3"/>
        <v>1</v>
      </c>
      <c r="B35" s="18">
        <f t="shared" si="1"/>
        <v>1</v>
      </c>
      <c r="C35" s="21"/>
      <c r="D35" s="21"/>
      <c r="E35" s="10" t="e" cm="1">
        <f t="array" ref="E35">LINEST(D35:D36,C35:C36)</f>
        <v>#VALUE!</v>
      </c>
      <c r="F35" s="10"/>
      <c r="G35" s="13" t="e">
        <f t="shared" si="2"/>
        <v>#VALUE!</v>
      </c>
      <c r="I35" s="9"/>
      <c r="J35" s="5" t="e">
        <v>#VALUE!</v>
      </c>
      <c r="L35" s="4"/>
      <c r="M35" s="4"/>
      <c r="N35" s="4"/>
      <c r="O35" s="4"/>
      <c r="P35" s="4"/>
      <c r="Q35" s="4"/>
      <c r="R35" s="4"/>
      <c r="S35" s="9"/>
      <c r="T35" s="9"/>
      <c r="U35" s="9" t="s">
        <v>32</v>
      </c>
      <c r="V35" s="9">
        <v>0</v>
      </c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</row>
    <row r="36" spans="1:122" ht="17.25" x14ac:dyDescent="0.3">
      <c r="A36" s="31">
        <f t="shared" si="3"/>
        <v>1</v>
      </c>
      <c r="B36" s="18">
        <f t="shared" si="1"/>
        <v>1</v>
      </c>
      <c r="C36" s="21"/>
      <c r="D36" s="21"/>
      <c r="E36" s="10" t="e" cm="1">
        <f t="array" ref="E36">LINEST(D36:D37,C36:C37)</f>
        <v>#VALUE!</v>
      </c>
      <c r="F36" s="10"/>
      <c r="G36" s="13" t="e">
        <f t="shared" si="2"/>
        <v>#VALUE!</v>
      </c>
      <c r="I36" s="9"/>
      <c r="J36" s="5" t="e">
        <v>#VALUE!</v>
      </c>
      <c r="S36" s="9"/>
      <c r="T36" s="9"/>
      <c r="U36" s="9" t="s">
        <v>30</v>
      </c>
      <c r="V36" s="9">
        <v>300</v>
      </c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</row>
    <row r="37" spans="1:122" ht="17.25" x14ac:dyDescent="0.3">
      <c r="A37" s="31">
        <f t="shared" si="3"/>
        <v>1</v>
      </c>
      <c r="B37" s="18">
        <f t="shared" si="1"/>
        <v>1</v>
      </c>
      <c r="C37" s="21"/>
      <c r="D37" s="21"/>
      <c r="E37" s="10" t="e" cm="1">
        <f t="array" ref="E37">LINEST(D37:D38,C37:C38)</f>
        <v>#VALUE!</v>
      </c>
      <c r="F37" s="10"/>
      <c r="G37" s="13" t="e">
        <f t="shared" si="2"/>
        <v>#VALUE!</v>
      </c>
      <c r="I37" s="9"/>
      <c r="J37" s="5" t="e">
        <v>#VALUE!</v>
      </c>
      <c r="S37" s="9"/>
      <c r="T37" s="9"/>
      <c r="U37" s="9" t="s">
        <v>31</v>
      </c>
      <c r="V37" s="9">
        <v>0</v>
      </c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</row>
    <row r="38" spans="1:122" ht="17.25" x14ac:dyDescent="0.3">
      <c r="A38" s="31">
        <f t="shared" si="3"/>
        <v>1</v>
      </c>
      <c r="B38" s="18">
        <f t="shared" si="1"/>
        <v>1</v>
      </c>
      <c r="C38" s="21"/>
      <c r="D38" s="21"/>
      <c r="E38" s="10" t="e" cm="1">
        <f t="array" ref="E38">LINEST(D38:D39,C38:C39)</f>
        <v>#VALUE!</v>
      </c>
      <c r="F38" s="10"/>
      <c r="G38" s="13" t="e">
        <f t="shared" si="2"/>
        <v>#VALUE!</v>
      </c>
      <c r="I38" s="9"/>
      <c r="J38" s="5" t="e">
        <v>#VALUE!</v>
      </c>
      <c r="S38" s="9"/>
      <c r="T38" s="9"/>
      <c r="U38" s="9" t="s">
        <v>3</v>
      </c>
      <c r="V38" s="9">
        <v>2</v>
      </c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</row>
    <row r="39" spans="1:122" ht="17.25" x14ac:dyDescent="0.3">
      <c r="A39" s="31">
        <f t="shared" si="3"/>
        <v>1</v>
      </c>
      <c r="B39" s="18">
        <f t="shared" si="1"/>
        <v>1</v>
      </c>
      <c r="C39" s="21"/>
      <c r="D39" s="21"/>
      <c r="E39" s="10" t="e" cm="1">
        <f t="array" ref="E39">LINEST(D39:D40,C39:C40)</f>
        <v>#VALUE!</v>
      </c>
      <c r="F39" s="10"/>
      <c r="G39" s="13" t="e">
        <f t="shared" si="2"/>
        <v>#VALUE!</v>
      </c>
      <c r="I39" s="9"/>
      <c r="J39" s="9" t="e">
        <v>#VALUE!</v>
      </c>
      <c r="K39" s="9"/>
      <c r="L39" s="9"/>
      <c r="M39" s="9"/>
      <c r="S39" s="9"/>
      <c r="T39" s="9"/>
      <c r="U39" s="9" t="s">
        <v>4</v>
      </c>
      <c r="V39" s="9">
        <v>0.4</v>
      </c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</row>
    <row r="40" spans="1:122" ht="17.25" x14ac:dyDescent="0.3">
      <c r="A40" s="31">
        <f t="shared" si="3"/>
        <v>1</v>
      </c>
      <c r="B40" s="18">
        <f t="shared" si="1"/>
        <v>1</v>
      </c>
      <c r="C40" s="21"/>
      <c r="D40" s="21"/>
      <c r="E40" s="10" t="e" cm="1">
        <f t="array" ref="E40">LINEST(D40:D41,C40:C41)</f>
        <v>#VALUE!</v>
      </c>
      <c r="F40" s="10"/>
      <c r="G40" s="13" t="e">
        <f t="shared" si="2"/>
        <v>#VALUE!</v>
      </c>
      <c r="I40" s="9"/>
      <c r="J40" s="9" t="e">
        <v>#VALUE!</v>
      </c>
      <c r="K40" s="9"/>
      <c r="L40" s="9"/>
      <c r="M40" s="9"/>
      <c r="S40" s="9"/>
      <c r="T40" s="9"/>
      <c r="U40" s="9" t="s">
        <v>8</v>
      </c>
      <c r="V40" s="9" t="s">
        <v>77</v>
      </c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</row>
    <row r="41" spans="1:122" ht="17.25" x14ac:dyDescent="0.3">
      <c r="A41" s="31">
        <f t="shared" ref="A41:A104" si="4">IF(OR($I$27&gt;=C41,$I$27&lt;=C42),1,0)</f>
        <v>1</v>
      </c>
      <c r="B41" s="18">
        <f t="shared" si="1"/>
        <v>1</v>
      </c>
      <c r="C41" s="21"/>
      <c r="D41" s="21"/>
      <c r="E41" s="10" t="e" cm="1">
        <f t="array" ref="E41">LINEST(D41:D42,C41:C42)</f>
        <v>#VALUE!</v>
      </c>
      <c r="F41" s="10"/>
      <c r="G41" s="13" t="e">
        <f t="shared" si="2"/>
        <v>#VALUE!</v>
      </c>
      <c r="J41" s="5" t="e">
        <v>#VALUE!</v>
      </c>
      <c r="T41" s="9"/>
      <c r="U41" s="9" t="s">
        <v>10</v>
      </c>
      <c r="V41" s="9">
        <v>78</v>
      </c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</row>
    <row r="42" spans="1:122" ht="17.25" x14ac:dyDescent="0.3">
      <c r="A42" s="31">
        <f t="shared" si="4"/>
        <v>1</v>
      </c>
      <c r="B42" s="18">
        <f t="shared" si="1"/>
        <v>1</v>
      </c>
      <c r="C42" s="21"/>
      <c r="D42" s="21"/>
      <c r="E42" s="10" t="e" cm="1">
        <f t="array" ref="E42">LINEST(D42:D43,C42:C43)</f>
        <v>#VALUE!</v>
      </c>
      <c r="F42" s="10"/>
      <c r="G42" s="13" t="e">
        <f t="shared" si="2"/>
        <v>#VALUE!</v>
      </c>
      <c r="J42" s="5" t="e">
        <v>#VALUE!</v>
      </c>
      <c r="T42" s="9"/>
      <c r="U42" s="9" t="s">
        <v>11</v>
      </c>
      <c r="V42" s="9">
        <v>340</v>
      </c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</row>
    <row r="43" spans="1:122" ht="17.25" x14ac:dyDescent="0.3">
      <c r="A43" s="31">
        <f t="shared" si="4"/>
        <v>1</v>
      </c>
      <c r="B43" s="18">
        <f t="shared" si="1"/>
        <v>1</v>
      </c>
      <c r="C43" s="21"/>
      <c r="D43" s="21"/>
      <c r="E43" s="10" t="e" cm="1">
        <f t="array" ref="E43">LINEST(D43:D44,C43:C44)</f>
        <v>#VALUE!</v>
      </c>
      <c r="F43" s="10"/>
      <c r="G43" s="13" t="e">
        <f t="shared" si="2"/>
        <v>#VALUE!</v>
      </c>
      <c r="J43" s="5" t="e">
        <v>#VALUE!</v>
      </c>
      <c r="T43" s="9"/>
      <c r="U43" s="9" t="s">
        <v>37</v>
      </c>
      <c r="V43" s="9" t="s">
        <v>38</v>
      </c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</row>
    <row r="44" spans="1:122" ht="17.25" x14ac:dyDescent="0.3">
      <c r="A44" s="31">
        <f t="shared" si="4"/>
        <v>1</v>
      </c>
      <c r="B44" s="18">
        <f t="shared" si="1"/>
        <v>1</v>
      </c>
      <c r="C44" s="21"/>
      <c r="D44" s="21"/>
      <c r="E44" s="10" t="e" cm="1">
        <f t="array" ref="E44">LINEST(D44:D45,C44:C45)</f>
        <v>#VALUE!</v>
      </c>
      <c r="F44" s="10"/>
      <c r="G44" s="13" t="e">
        <f t="shared" si="2"/>
        <v>#VALUE!</v>
      </c>
      <c r="J44" s="5" t="e">
        <v>#VALUE!</v>
      </c>
      <c r="T44" s="9"/>
      <c r="U44" s="9" t="s">
        <v>44</v>
      </c>
      <c r="V44" s="9" t="s">
        <v>45</v>
      </c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</row>
    <row r="45" spans="1:122" ht="17.25" x14ac:dyDescent="0.3">
      <c r="A45" s="31">
        <f t="shared" si="4"/>
        <v>1</v>
      </c>
      <c r="B45" s="18">
        <f t="shared" si="1"/>
        <v>1</v>
      </c>
      <c r="C45" s="21"/>
      <c r="D45" s="21"/>
      <c r="E45" s="10" t="e" cm="1">
        <f t="array" ref="E45">LINEST(D45:D46,C45:C46)</f>
        <v>#VALUE!</v>
      </c>
      <c r="F45" s="10"/>
      <c r="G45" s="13" t="e">
        <f t="shared" si="2"/>
        <v>#VALUE!</v>
      </c>
      <c r="J45" s="5" t="e">
        <v>#VALUE!</v>
      </c>
      <c r="T45" s="9"/>
      <c r="U45" s="9" t="s">
        <v>53</v>
      </c>
      <c r="V45" s="9" t="s">
        <v>54</v>
      </c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</row>
    <row r="46" spans="1:122" ht="17.25" x14ac:dyDescent="0.3">
      <c r="A46" s="31">
        <f t="shared" si="4"/>
        <v>1</v>
      </c>
      <c r="B46" s="18">
        <f t="shared" si="1"/>
        <v>1</v>
      </c>
      <c r="C46" s="21"/>
      <c r="D46" s="21"/>
      <c r="E46" s="10" t="e" cm="1">
        <f t="array" ref="E46">LINEST(D46:D47,C46:C47)</f>
        <v>#VALUE!</v>
      </c>
      <c r="F46" s="10"/>
      <c r="G46" s="13" t="e">
        <f t="shared" si="2"/>
        <v>#VALUE!</v>
      </c>
      <c r="J46" s="5" t="e">
        <v>#VALUE!</v>
      </c>
      <c r="T46" s="9"/>
      <c r="U46" s="9" t="s">
        <v>29</v>
      </c>
      <c r="V46" s="9" t="s">
        <v>77</v>
      </c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</row>
    <row r="47" spans="1:122" ht="17.25" x14ac:dyDescent="0.3">
      <c r="A47" s="31">
        <f t="shared" si="4"/>
        <v>1</v>
      </c>
      <c r="B47" s="18">
        <f t="shared" si="1"/>
        <v>1</v>
      </c>
      <c r="C47" s="21"/>
      <c r="D47" s="21"/>
      <c r="E47" s="10" t="e" cm="1">
        <f t="array" ref="E47">LINEST(D47:D48,C47:C48)</f>
        <v>#VALUE!</v>
      </c>
      <c r="F47" s="10"/>
      <c r="G47" s="13" t="e">
        <f t="shared" si="2"/>
        <v>#VALUE!</v>
      </c>
      <c r="J47" s="5" t="e">
        <v>#VALUE!</v>
      </c>
      <c r="T47" s="9"/>
      <c r="U47" s="9" t="s">
        <v>58</v>
      </c>
      <c r="V47" s="9" t="s">
        <v>59</v>
      </c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</row>
    <row r="48" spans="1:122" ht="17.25" x14ac:dyDescent="0.3">
      <c r="A48" s="31">
        <f t="shared" si="4"/>
        <v>1</v>
      </c>
      <c r="B48" s="18">
        <f t="shared" si="1"/>
        <v>1</v>
      </c>
      <c r="C48" s="21"/>
      <c r="D48" s="21"/>
      <c r="E48" s="10" t="e" cm="1">
        <f t="array" ref="E48">LINEST(D48:D49,C48:C49)</f>
        <v>#VALUE!</v>
      </c>
      <c r="F48" s="10"/>
      <c r="G48" s="13" t="e">
        <f t="shared" si="2"/>
        <v>#VALUE!</v>
      </c>
      <c r="J48" s="5" t="e">
        <v>#VALUE!</v>
      </c>
      <c r="T48" s="9"/>
      <c r="U48" s="9" t="s">
        <v>55</v>
      </c>
      <c r="V48" s="9" t="s">
        <v>56</v>
      </c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</row>
    <row r="49" spans="1:122" ht="17.25" x14ac:dyDescent="0.3">
      <c r="A49" s="31">
        <f t="shared" si="4"/>
        <v>1</v>
      </c>
      <c r="B49" s="18">
        <f t="shared" si="1"/>
        <v>1</v>
      </c>
      <c r="C49" s="21"/>
      <c r="D49" s="21"/>
      <c r="E49" s="10" t="e" cm="1">
        <f t="array" ref="E49">LINEST(D49:D50,C49:C50)</f>
        <v>#VALUE!</v>
      </c>
      <c r="F49" s="10"/>
      <c r="G49" s="13" t="e">
        <f t="shared" si="2"/>
        <v>#VALUE!</v>
      </c>
      <c r="J49" s="5" t="e">
        <v>#VALUE!</v>
      </c>
      <c r="T49" s="9"/>
      <c r="U49" s="9" t="s">
        <v>42</v>
      </c>
      <c r="V49" s="9" t="s">
        <v>43</v>
      </c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</row>
    <row r="50" spans="1:122" ht="17.25" x14ac:dyDescent="0.3">
      <c r="A50" s="31">
        <f t="shared" si="4"/>
        <v>1</v>
      </c>
      <c r="B50" s="18">
        <f t="shared" si="1"/>
        <v>1</v>
      </c>
      <c r="C50" s="21"/>
      <c r="D50" s="21"/>
      <c r="E50" s="10" t="e" cm="1">
        <f t="array" ref="E50">LINEST(D50:D51,C50:C51)</f>
        <v>#VALUE!</v>
      </c>
      <c r="G50" s="13" t="e">
        <f t="shared" si="2"/>
        <v>#VALUE!</v>
      </c>
      <c r="J50" s="5" t="e">
        <v>#VALUE!</v>
      </c>
      <c r="T50" s="9"/>
      <c r="U50" s="9" t="s">
        <v>16</v>
      </c>
      <c r="V50" s="9" t="s">
        <v>17</v>
      </c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</row>
    <row r="51" spans="1:122" ht="17.25" x14ac:dyDescent="0.3">
      <c r="A51" s="31">
        <f t="shared" si="4"/>
        <v>1</v>
      </c>
      <c r="B51" s="18">
        <f t="shared" si="1"/>
        <v>1</v>
      </c>
      <c r="C51" s="21"/>
      <c r="D51" s="21"/>
      <c r="E51" s="10" t="e" cm="1">
        <f t="array" ref="E51">LINEST(D51:D52,C51:C52)</f>
        <v>#VALUE!</v>
      </c>
      <c r="G51" s="13" t="e">
        <f t="shared" si="2"/>
        <v>#VALUE!</v>
      </c>
      <c r="J51" s="5" t="e">
        <v>#VALUE!</v>
      </c>
      <c r="T51" s="9"/>
      <c r="U51" s="9" t="s">
        <v>60</v>
      </c>
      <c r="V51" s="9" t="s">
        <v>61</v>
      </c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</row>
    <row r="52" spans="1:122" ht="17.25" x14ac:dyDescent="0.3">
      <c r="A52" s="31">
        <f t="shared" si="4"/>
        <v>1</v>
      </c>
      <c r="B52" s="18">
        <f t="shared" si="1"/>
        <v>1</v>
      </c>
      <c r="C52" s="21"/>
      <c r="D52" s="21"/>
      <c r="E52" s="10" t="e" cm="1">
        <f t="array" ref="E52">LINEST(D52:D53,C52:C53)</f>
        <v>#VALUE!</v>
      </c>
      <c r="G52" s="13" t="e">
        <f t="shared" si="2"/>
        <v>#VALUE!</v>
      </c>
      <c r="J52" s="5" t="e">
        <v>#VALUE!</v>
      </c>
      <c r="T52" s="9"/>
      <c r="U52" s="9" t="s">
        <v>46</v>
      </c>
      <c r="V52" s="9" t="s">
        <v>47</v>
      </c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</row>
    <row r="53" spans="1:122" ht="17.25" x14ac:dyDescent="0.3">
      <c r="A53" s="31">
        <f t="shared" si="4"/>
        <v>1</v>
      </c>
      <c r="B53" s="18">
        <f t="shared" si="1"/>
        <v>1</v>
      </c>
      <c r="C53" s="21"/>
      <c r="D53" s="21"/>
      <c r="E53" s="10" t="e" cm="1">
        <f t="array" ref="E53">LINEST(D53:D54,C53:C54)</f>
        <v>#VALUE!</v>
      </c>
      <c r="G53" s="13" t="e">
        <f t="shared" si="2"/>
        <v>#VALUE!</v>
      </c>
      <c r="J53" s="5" t="e">
        <v>#VALUE!</v>
      </c>
      <c r="T53" s="9"/>
      <c r="U53" s="9" t="s">
        <v>9</v>
      </c>
      <c r="V53" s="9" t="b">
        <v>0</v>
      </c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</row>
    <row r="54" spans="1:122" ht="17.25" x14ac:dyDescent="0.3">
      <c r="A54" s="31">
        <f t="shared" si="4"/>
        <v>1</v>
      </c>
      <c r="B54" s="18">
        <f t="shared" si="1"/>
        <v>1</v>
      </c>
      <c r="C54" s="21"/>
      <c r="D54" s="21"/>
      <c r="E54" s="10" t="e" cm="1">
        <f t="array" ref="E54">LINEST(D54:D55,C54:C55)</f>
        <v>#VALUE!</v>
      </c>
      <c r="G54" s="13" t="e">
        <f t="shared" si="2"/>
        <v>#VALUE!</v>
      </c>
      <c r="J54" s="5" t="e">
        <v>#VALUE!</v>
      </c>
      <c r="T54" s="9"/>
      <c r="U54" s="9" t="s">
        <v>62</v>
      </c>
      <c r="V54" s="9" t="s">
        <v>78</v>
      </c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</row>
    <row r="55" spans="1:122" ht="17.25" x14ac:dyDescent="0.3">
      <c r="A55" s="31">
        <f t="shared" si="4"/>
        <v>1</v>
      </c>
      <c r="B55" s="18">
        <f t="shared" si="1"/>
        <v>1</v>
      </c>
      <c r="C55" s="21"/>
      <c r="D55" s="21"/>
      <c r="E55" s="10" t="e" cm="1">
        <f t="array" ref="E55">LINEST(D55:D56,C55:C56)</f>
        <v>#VALUE!</v>
      </c>
      <c r="G55" s="13" t="e">
        <f t="shared" si="2"/>
        <v>#VALUE!</v>
      </c>
      <c r="J55" s="5" t="e">
        <v>#VALUE!</v>
      </c>
      <c r="T55" s="9"/>
      <c r="U55" s="9" t="s">
        <v>23</v>
      </c>
      <c r="V55" s="9" t="s">
        <v>79</v>
      </c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</row>
    <row r="56" spans="1:122" ht="17.25" x14ac:dyDescent="0.3">
      <c r="A56" s="31">
        <f t="shared" si="4"/>
        <v>1</v>
      </c>
      <c r="B56" s="18">
        <f t="shared" si="1"/>
        <v>1</v>
      </c>
      <c r="C56" s="21"/>
      <c r="D56" s="21"/>
      <c r="E56" s="10" t="e" cm="1">
        <f t="array" ref="E56">LINEST(D56:D57,C56:C57)</f>
        <v>#VALUE!</v>
      </c>
      <c r="G56" s="13" t="e">
        <f t="shared" si="2"/>
        <v>#VALUE!</v>
      </c>
      <c r="J56" s="5" t="e">
        <v>#VALUE!</v>
      </c>
      <c r="T56" s="9"/>
      <c r="U56" s="9" t="s">
        <v>19</v>
      </c>
      <c r="V56" s="9" t="s">
        <v>89</v>
      </c>
      <c r="W56" s="9">
        <v>1</v>
      </c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</row>
    <row r="57" spans="1:122" ht="17.25" x14ac:dyDescent="0.3">
      <c r="A57" s="31">
        <f t="shared" si="4"/>
        <v>1</v>
      </c>
      <c r="B57" s="18">
        <f t="shared" si="1"/>
        <v>1</v>
      </c>
      <c r="C57" s="21"/>
      <c r="D57" s="21"/>
      <c r="E57" s="10" t="e" cm="1">
        <f t="array" ref="E57">LINEST(D57:D58,C57:C58)</f>
        <v>#VALUE!</v>
      </c>
      <c r="G57" s="13" t="e">
        <f t="shared" si="2"/>
        <v>#VALUE!</v>
      </c>
      <c r="J57" s="5" t="e">
        <v>#VALUE!</v>
      </c>
      <c r="T57" s="9"/>
      <c r="U57" s="9" t="s">
        <v>14</v>
      </c>
      <c r="V57" s="9">
        <v>473</v>
      </c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</row>
    <row r="58" spans="1:122" ht="17.25" x14ac:dyDescent="0.3">
      <c r="A58" s="31">
        <f t="shared" si="4"/>
        <v>1</v>
      </c>
      <c r="B58" s="18">
        <f t="shared" si="1"/>
        <v>1</v>
      </c>
      <c r="C58" s="21"/>
      <c r="D58" s="21"/>
      <c r="E58" s="10" t="e" cm="1">
        <f t="array" ref="E58">LINEST(D58:D59,C58:C59)</f>
        <v>#VALUE!</v>
      </c>
      <c r="G58" s="13" t="e">
        <f t="shared" si="2"/>
        <v>#VALUE!</v>
      </c>
      <c r="J58" s="5" t="e">
        <v>#VALUE!</v>
      </c>
      <c r="T58" s="9"/>
      <c r="U58" s="9" t="s">
        <v>0</v>
      </c>
      <c r="V58" s="9" t="s">
        <v>94</v>
      </c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</row>
    <row r="59" spans="1:122" ht="17.25" x14ac:dyDescent="0.3">
      <c r="A59" s="31">
        <f t="shared" si="4"/>
        <v>1</v>
      </c>
      <c r="B59" s="18">
        <f t="shared" si="1"/>
        <v>1</v>
      </c>
      <c r="C59" s="21"/>
      <c r="D59" s="21"/>
      <c r="E59" s="10" t="e" cm="1">
        <f t="array" ref="E59">LINEST(D59:D60,C59:C60)</f>
        <v>#VALUE!</v>
      </c>
      <c r="G59" s="13" t="e">
        <f t="shared" si="2"/>
        <v>#VALUE!</v>
      </c>
      <c r="J59" s="5" t="e">
        <v>#VALUE!</v>
      </c>
      <c r="T59" s="9"/>
      <c r="U59" s="9" t="s">
        <v>13</v>
      </c>
      <c r="V59" s="9">
        <v>37</v>
      </c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</row>
    <row r="60" spans="1:122" ht="17.25" x14ac:dyDescent="0.3">
      <c r="A60" s="31">
        <f t="shared" si="4"/>
        <v>1</v>
      </c>
      <c r="B60" s="18">
        <f t="shared" si="1"/>
        <v>1</v>
      </c>
      <c r="C60" s="21"/>
      <c r="D60" s="21"/>
      <c r="E60" s="10" t="e" cm="1">
        <f t="array" ref="E60">LINEST(D60:D61,C60:C61)</f>
        <v>#VALUE!</v>
      </c>
      <c r="G60" s="13" t="e">
        <f t="shared" si="2"/>
        <v>#VALUE!</v>
      </c>
      <c r="J60" s="5" t="e">
        <v>#VALUE!</v>
      </c>
      <c r="T60" s="9"/>
      <c r="U60" s="9" t="s">
        <v>5</v>
      </c>
      <c r="V60" s="9">
        <v>1.25</v>
      </c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</row>
    <row r="61" spans="1:122" ht="17.25" x14ac:dyDescent="0.3">
      <c r="A61" s="31">
        <f t="shared" si="4"/>
        <v>1</v>
      </c>
      <c r="B61" s="18">
        <f t="shared" si="1"/>
        <v>1</v>
      </c>
      <c r="C61" s="21"/>
      <c r="D61" s="21"/>
      <c r="E61" s="10" t="e" cm="1">
        <f t="array" ref="E61">LINEST(D61:D62,C61:C62)</f>
        <v>#VALUE!</v>
      </c>
      <c r="G61" s="13" t="e">
        <f t="shared" si="2"/>
        <v>#VALUE!</v>
      </c>
      <c r="J61" s="5" t="e">
        <v>#VALUE!</v>
      </c>
      <c r="T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</row>
    <row r="62" spans="1:122" ht="17.25" x14ac:dyDescent="0.3">
      <c r="A62" s="31">
        <f t="shared" si="4"/>
        <v>1</v>
      </c>
      <c r="B62" s="18">
        <f t="shared" si="1"/>
        <v>1</v>
      </c>
      <c r="C62" s="21"/>
      <c r="D62" s="21"/>
      <c r="E62" s="10" t="e" cm="1">
        <f t="array" ref="E62">LINEST(D62:D63,C62:C63)</f>
        <v>#VALUE!</v>
      </c>
      <c r="G62" s="13" t="e">
        <f t="shared" si="2"/>
        <v>#VALUE!</v>
      </c>
      <c r="J62" s="5" t="e">
        <v>#VALUE!</v>
      </c>
      <c r="T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</row>
    <row r="63" spans="1:122" ht="17.25" x14ac:dyDescent="0.3">
      <c r="A63" s="31">
        <f t="shared" si="4"/>
        <v>1</v>
      </c>
      <c r="B63" s="18">
        <f t="shared" si="1"/>
        <v>1</v>
      </c>
      <c r="C63" s="21"/>
      <c r="D63" s="21"/>
      <c r="E63" s="10" t="e" cm="1">
        <f t="array" ref="E63">LINEST(D63:D64,C63:C64)</f>
        <v>#VALUE!</v>
      </c>
      <c r="G63" s="13" t="e">
        <f t="shared" si="2"/>
        <v>#VALUE!</v>
      </c>
      <c r="J63" s="5" t="e">
        <v>#VALUE!</v>
      </c>
      <c r="T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</row>
    <row r="64" spans="1:122" ht="17.25" x14ac:dyDescent="0.3">
      <c r="A64" s="31">
        <f t="shared" si="4"/>
        <v>1</v>
      </c>
      <c r="B64" s="18">
        <f t="shared" si="1"/>
        <v>1</v>
      </c>
      <c r="C64" s="21"/>
      <c r="D64" s="21"/>
      <c r="E64" s="10" t="e" cm="1">
        <f t="array" ref="E64">LINEST(D64:D65,C64:C65)</f>
        <v>#VALUE!</v>
      </c>
      <c r="G64" s="13" t="e">
        <f t="shared" si="2"/>
        <v>#VALUE!</v>
      </c>
      <c r="J64" s="5" t="e">
        <v>#VALUE!</v>
      </c>
      <c r="T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</row>
    <row r="65" spans="1:122" ht="17.25" x14ac:dyDescent="0.3">
      <c r="A65" s="31">
        <f t="shared" si="4"/>
        <v>1</v>
      </c>
      <c r="B65" s="18">
        <f t="shared" si="1"/>
        <v>1</v>
      </c>
      <c r="C65" s="21"/>
      <c r="D65" s="21"/>
      <c r="E65" s="10" t="e" cm="1">
        <f t="array" ref="E65">LINEST(D65:D66,C65:C66)</f>
        <v>#VALUE!</v>
      </c>
      <c r="G65" s="13" t="e">
        <f t="shared" si="2"/>
        <v>#VALUE!</v>
      </c>
      <c r="J65" s="5" t="e">
        <v>#VALUE!</v>
      </c>
      <c r="T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</row>
    <row r="66" spans="1:122" ht="17.25" x14ac:dyDescent="0.3">
      <c r="A66" s="31">
        <f t="shared" si="4"/>
        <v>1</v>
      </c>
      <c r="B66" s="18">
        <f t="shared" si="1"/>
        <v>1</v>
      </c>
      <c r="C66" s="21"/>
      <c r="D66" s="21"/>
      <c r="E66" s="10" t="e" cm="1">
        <f t="array" ref="E66">LINEST(D66:D67,C66:C67)</f>
        <v>#VALUE!</v>
      </c>
      <c r="G66" s="13" t="e">
        <f t="shared" si="2"/>
        <v>#VALUE!</v>
      </c>
      <c r="J66" s="5" t="e">
        <v>#VALUE!</v>
      </c>
      <c r="T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</row>
    <row r="67" spans="1:122" ht="17.25" x14ac:dyDescent="0.3">
      <c r="A67" s="31">
        <f t="shared" si="4"/>
        <v>1</v>
      </c>
      <c r="B67" s="18">
        <f t="shared" si="1"/>
        <v>1</v>
      </c>
      <c r="C67" s="21"/>
      <c r="D67" s="21"/>
      <c r="E67" s="10" t="e" cm="1">
        <f t="array" ref="E67">LINEST(D67:D68,C67:C68)</f>
        <v>#VALUE!</v>
      </c>
      <c r="G67" s="13" t="e">
        <f t="shared" si="2"/>
        <v>#VALUE!</v>
      </c>
      <c r="J67" s="5" t="e">
        <v>#VALUE!</v>
      </c>
      <c r="T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</row>
    <row r="68" spans="1:122" ht="17.25" x14ac:dyDescent="0.3">
      <c r="A68" s="31">
        <f t="shared" si="4"/>
        <v>1</v>
      </c>
      <c r="B68" s="18">
        <f t="shared" si="1"/>
        <v>1</v>
      </c>
      <c r="C68" s="21"/>
      <c r="D68" s="21"/>
      <c r="E68" s="10" t="e" cm="1">
        <f t="array" ref="E68">LINEST(D68:D69,C68:C69)</f>
        <v>#VALUE!</v>
      </c>
      <c r="G68" s="13" t="e">
        <f t="shared" si="2"/>
        <v>#VALUE!</v>
      </c>
      <c r="J68" s="5" t="e">
        <v>#VALUE!</v>
      </c>
      <c r="T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</row>
    <row r="69" spans="1:122" ht="17.25" x14ac:dyDescent="0.3">
      <c r="A69" s="31">
        <f t="shared" si="4"/>
        <v>1</v>
      </c>
      <c r="B69" s="18">
        <f t="shared" si="1"/>
        <v>1</v>
      </c>
      <c r="C69" s="21"/>
      <c r="D69" s="21"/>
      <c r="E69" s="10" t="e" cm="1">
        <f t="array" ref="E69">LINEST(D69:D70,C69:C70)</f>
        <v>#VALUE!</v>
      </c>
      <c r="G69" s="13" t="e">
        <f t="shared" si="2"/>
        <v>#VALUE!</v>
      </c>
      <c r="J69" s="5" t="e">
        <v>#VALUE!</v>
      </c>
      <c r="T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</row>
    <row r="70" spans="1:122" ht="17.25" x14ac:dyDescent="0.3">
      <c r="A70" s="31">
        <f t="shared" si="4"/>
        <v>1</v>
      </c>
      <c r="B70" s="18">
        <f t="shared" si="1"/>
        <v>1</v>
      </c>
      <c r="C70" s="21"/>
      <c r="D70" s="21"/>
      <c r="E70" s="10" t="e" cm="1">
        <f t="array" ref="E70">LINEST(D70:D71,C70:C71)</f>
        <v>#VALUE!</v>
      </c>
      <c r="G70" s="13" t="e">
        <f t="shared" si="2"/>
        <v>#VALUE!</v>
      </c>
      <c r="J70" s="5" t="e">
        <v>#VALUE!</v>
      </c>
      <c r="T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</row>
    <row r="71" spans="1:122" ht="17.25" x14ac:dyDescent="0.3">
      <c r="A71" s="31">
        <f t="shared" si="4"/>
        <v>1</v>
      </c>
      <c r="B71" s="18">
        <f t="shared" ref="B71:B113" si="5">IF(AND(C71&lt;=$I$27,$I$27&lt;=C72),1,0)</f>
        <v>1</v>
      </c>
      <c r="C71" s="21"/>
      <c r="D71" s="21"/>
      <c r="E71" s="10" t="e" cm="1">
        <f t="array" ref="E71">LINEST(D71:D72,C71:C72)</f>
        <v>#VALUE!</v>
      </c>
      <c r="G71" s="13" t="e">
        <f t="shared" ref="G71:G113" si="6">E71*$I$27+$F71</f>
        <v>#VALUE!</v>
      </c>
      <c r="J71" s="5" t="e">
        <v>#VALUE!</v>
      </c>
      <c r="T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</row>
    <row r="72" spans="1:122" ht="17.25" x14ac:dyDescent="0.3">
      <c r="A72" s="31">
        <f t="shared" si="4"/>
        <v>1</v>
      </c>
      <c r="B72" s="18">
        <f t="shared" si="5"/>
        <v>1</v>
      </c>
      <c r="C72" s="21"/>
      <c r="D72" s="21"/>
      <c r="E72" s="10" t="e" cm="1">
        <f t="array" ref="E72">LINEST(D72:D73,C72:C73)</f>
        <v>#VALUE!</v>
      </c>
      <c r="G72" s="13" t="e">
        <f t="shared" si="6"/>
        <v>#VALUE!</v>
      </c>
      <c r="J72" s="5" t="e">
        <v>#VALUE!</v>
      </c>
      <c r="T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</row>
    <row r="73" spans="1:122" ht="17.25" x14ac:dyDescent="0.3">
      <c r="A73" s="31">
        <f t="shared" si="4"/>
        <v>1</v>
      </c>
      <c r="B73" s="18">
        <f t="shared" si="5"/>
        <v>1</v>
      </c>
      <c r="C73" s="21"/>
      <c r="D73" s="21"/>
      <c r="E73" s="10" t="e" cm="1">
        <f t="array" ref="E73">LINEST(D73:D74,C73:C74)</f>
        <v>#VALUE!</v>
      </c>
      <c r="G73" s="13" t="e">
        <f t="shared" si="6"/>
        <v>#VALUE!</v>
      </c>
      <c r="J73" s="5" t="e">
        <v>#VALUE!</v>
      </c>
      <c r="T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</row>
    <row r="74" spans="1:122" ht="17.25" x14ac:dyDescent="0.3">
      <c r="A74" s="31">
        <f t="shared" si="4"/>
        <v>1</v>
      </c>
      <c r="B74" s="18">
        <f t="shared" si="5"/>
        <v>1</v>
      </c>
      <c r="C74" s="21"/>
      <c r="D74" s="21"/>
      <c r="E74" s="10" t="e" cm="1">
        <f t="array" ref="E74">LINEST(D74:D75,C74:C75)</f>
        <v>#VALUE!</v>
      </c>
      <c r="G74" s="13" t="e">
        <f t="shared" si="6"/>
        <v>#VALUE!</v>
      </c>
      <c r="J74" s="5" t="e">
        <v>#VALUE!</v>
      </c>
      <c r="T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</row>
    <row r="75" spans="1:122" ht="17.25" x14ac:dyDescent="0.3">
      <c r="A75" s="31">
        <f t="shared" si="4"/>
        <v>1</v>
      </c>
      <c r="B75" s="18">
        <f t="shared" si="5"/>
        <v>1</v>
      </c>
      <c r="C75" s="21"/>
      <c r="D75" s="21"/>
      <c r="E75" s="10" t="e" cm="1">
        <f t="array" ref="E75">LINEST(D75:D76,C75:C76)</f>
        <v>#VALUE!</v>
      </c>
      <c r="G75" s="13" t="e">
        <f t="shared" si="6"/>
        <v>#VALUE!</v>
      </c>
      <c r="J75" s="5" t="e">
        <v>#VALUE!</v>
      </c>
      <c r="T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</row>
    <row r="76" spans="1:122" ht="17.25" x14ac:dyDescent="0.3">
      <c r="A76" s="31">
        <f t="shared" si="4"/>
        <v>1</v>
      </c>
      <c r="B76" s="18">
        <f t="shared" si="5"/>
        <v>1</v>
      </c>
      <c r="C76" s="21"/>
      <c r="D76" s="21"/>
      <c r="E76" s="10" t="e" cm="1">
        <f t="array" ref="E76">LINEST(D76:D77,C76:C77)</f>
        <v>#VALUE!</v>
      </c>
      <c r="G76" s="13" t="e">
        <f t="shared" si="6"/>
        <v>#VALUE!</v>
      </c>
      <c r="J76" s="5" t="e">
        <v>#VALUE!</v>
      </c>
      <c r="T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</row>
    <row r="77" spans="1:122" ht="17.25" x14ac:dyDescent="0.3">
      <c r="A77" s="31">
        <f t="shared" si="4"/>
        <v>1</v>
      </c>
      <c r="B77" s="18">
        <f t="shared" si="5"/>
        <v>1</v>
      </c>
      <c r="C77" s="21"/>
      <c r="D77" s="21"/>
      <c r="E77" s="10" t="e" cm="1">
        <f t="array" ref="E77">LINEST(D77:D78,C77:C78)</f>
        <v>#VALUE!</v>
      </c>
      <c r="G77" s="13" t="e">
        <f t="shared" si="6"/>
        <v>#VALUE!</v>
      </c>
      <c r="J77" s="5" t="e">
        <v>#VALUE!</v>
      </c>
      <c r="T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</row>
    <row r="78" spans="1:122" ht="17.25" x14ac:dyDescent="0.3">
      <c r="A78" s="31">
        <f t="shared" si="4"/>
        <v>1</v>
      </c>
      <c r="B78" s="18">
        <f t="shared" si="5"/>
        <v>1</v>
      </c>
      <c r="C78" s="21"/>
      <c r="D78" s="21"/>
      <c r="E78" s="10" t="e" cm="1">
        <f t="array" ref="E78">LINEST(D78:D79,C78:C79)</f>
        <v>#VALUE!</v>
      </c>
      <c r="G78" s="13" t="e">
        <f t="shared" si="6"/>
        <v>#VALUE!</v>
      </c>
      <c r="J78" s="5" t="e">
        <v>#VALUE!</v>
      </c>
      <c r="T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</row>
    <row r="79" spans="1:122" ht="17.25" x14ac:dyDescent="0.3">
      <c r="A79" s="31">
        <f t="shared" si="4"/>
        <v>1</v>
      </c>
      <c r="B79" s="18">
        <f t="shared" si="5"/>
        <v>1</v>
      </c>
      <c r="C79" s="21"/>
      <c r="D79" s="21"/>
      <c r="E79" s="10" t="e" cm="1">
        <f t="array" ref="E79">LINEST(D79:D80,C79:C80)</f>
        <v>#VALUE!</v>
      </c>
      <c r="G79" s="13" t="e">
        <f t="shared" si="6"/>
        <v>#VALUE!</v>
      </c>
      <c r="J79" s="5" t="e">
        <v>#VALUE!</v>
      </c>
      <c r="T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</row>
    <row r="80" spans="1:122" ht="17.25" x14ac:dyDescent="0.3">
      <c r="A80" s="31">
        <f t="shared" si="4"/>
        <v>1</v>
      </c>
      <c r="B80" s="18">
        <f t="shared" si="5"/>
        <v>1</v>
      </c>
      <c r="C80" s="21"/>
      <c r="D80" s="21"/>
      <c r="E80" s="10" t="e" cm="1">
        <f t="array" ref="E80">LINEST(D80:D81,C80:C81)</f>
        <v>#VALUE!</v>
      </c>
      <c r="G80" s="13" t="e">
        <f t="shared" si="6"/>
        <v>#VALUE!</v>
      </c>
      <c r="J80" s="5" t="e">
        <v>#VALUE!</v>
      </c>
      <c r="T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</row>
    <row r="81" spans="1:122" ht="17.25" x14ac:dyDescent="0.3">
      <c r="A81" s="31">
        <f t="shared" si="4"/>
        <v>1</v>
      </c>
      <c r="B81" s="18">
        <f t="shared" si="5"/>
        <v>1</v>
      </c>
      <c r="C81" s="21"/>
      <c r="D81" s="21"/>
      <c r="E81" s="10" t="e" cm="1">
        <f t="array" ref="E81">LINEST(D81:D82,C81:C82)</f>
        <v>#VALUE!</v>
      </c>
      <c r="G81" s="13" t="e">
        <f t="shared" si="6"/>
        <v>#VALUE!</v>
      </c>
      <c r="J81" s="5" t="e">
        <v>#VALUE!</v>
      </c>
      <c r="T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</row>
    <row r="82" spans="1:122" ht="17.25" x14ac:dyDescent="0.3">
      <c r="A82" s="31">
        <f t="shared" si="4"/>
        <v>1</v>
      </c>
      <c r="B82" s="18">
        <f t="shared" si="5"/>
        <v>1</v>
      </c>
      <c r="C82" s="21"/>
      <c r="D82" s="21"/>
      <c r="E82" s="10" t="e" cm="1">
        <f t="array" ref="E82">LINEST(D82:D83,C82:C83)</f>
        <v>#VALUE!</v>
      </c>
      <c r="G82" s="13" t="e">
        <f t="shared" si="6"/>
        <v>#VALUE!</v>
      </c>
      <c r="J82" s="5" t="e">
        <v>#VALUE!</v>
      </c>
      <c r="T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</row>
    <row r="83" spans="1:122" ht="17.25" x14ac:dyDescent="0.3">
      <c r="A83" s="31">
        <f t="shared" si="4"/>
        <v>1</v>
      </c>
      <c r="B83" s="18">
        <f t="shared" si="5"/>
        <v>1</v>
      </c>
      <c r="C83" s="21"/>
      <c r="D83" s="21"/>
      <c r="E83" s="10" t="e" cm="1">
        <f t="array" ref="E83">LINEST(D83:D84,C83:C84)</f>
        <v>#VALUE!</v>
      </c>
      <c r="G83" s="13" t="e">
        <f t="shared" si="6"/>
        <v>#VALUE!</v>
      </c>
      <c r="J83" s="5" t="e">
        <v>#VALUE!</v>
      </c>
      <c r="T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</row>
    <row r="84" spans="1:122" ht="17.25" x14ac:dyDescent="0.3">
      <c r="A84" s="31">
        <f t="shared" si="4"/>
        <v>1</v>
      </c>
      <c r="B84" s="18">
        <f t="shared" si="5"/>
        <v>1</v>
      </c>
      <c r="C84" s="21"/>
      <c r="D84" s="21"/>
      <c r="E84" s="10" t="e" cm="1">
        <f t="array" ref="E84">LINEST(D84:D85,C84:C85)</f>
        <v>#VALUE!</v>
      </c>
      <c r="G84" s="13" t="e">
        <f t="shared" si="6"/>
        <v>#VALUE!</v>
      </c>
      <c r="J84" s="5" t="e">
        <v>#VALUE!</v>
      </c>
      <c r="T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</row>
    <row r="85" spans="1:122" ht="17.25" x14ac:dyDescent="0.3">
      <c r="A85" s="31">
        <f t="shared" si="4"/>
        <v>1</v>
      </c>
      <c r="B85" s="18">
        <f t="shared" si="5"/>
        <v>1</v>
      </c>
      <c r="C85" s="21"/>
      <c r="D85" s="21"/>
      <c r="E85" s="10" t="e" cm="1">
        <f t="array" ref="E85">LINEST(D85:D86,C85:C86)</f>
        <v>#VALUE!</v>
      </c>
      <c r="G85" s="13" t="e">
        <f t="shared" si="6"/>
        <v>#VALUE!</v>
      </c>
      <c r="J85" s="5" t="e">
        <v>#VALUE!</v>
      </c>
      <c r="T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</row>
    <row r="86" spans="1:122" ht="17.25" x14ac:dyDescent="0.3">
      <c r="A86" s="31">
        <f t="shared" si="4"/>
        <v>1</v>
      </c>
      <c r="B86" s="18">
        <f t="shared" si="5"/>
        <v>1</v>
      </c>
      <c r="C86" s="21"/>
      <c r="D86" s="21"/>
      <c r="E86" s="10" t="e" cm="1">
        <f t="array" ref="E86">LINEST(D86:D87,C86:C87)</f>
        <v>#VALUE!</v>
      </c>
      <c r="G86" s="13" t="e">
        <f t="shared" si="6"/>
        <v>#VALUE!</v>
      </c>
      <c r="J86" s="5" t="e">
        <v>#VALUE!</v>
      </c>
      <c r="T86" s="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</row>
    <row r="87" spans="1:122" ht="17.25" x14ac:dyDescent="0.3">
      <c r="A87" s="31">
        <f t="shared" si="4"/>
        <v>1</v>
      </c>
      <c r="B87" s="18">
        <f t="shared" si="5"/>
        <v>1</v>
      </c>
      <c r="C87" s="21"/>
      <c r="D87" s="21"/>
      <c r="E87" s="10" t="e" cm="1">
        <f t="array" ref="E87">LINEST(D87:D88,C87:C88)</f>
        <v>#VALUE!</v>
      </c>
      <c r="G87" s="13" t="e">
        <f t="shared" si="6"/>
        <v>#VALUE!</v>
      </c>
      <c r="J87" s="5" t="e">
        <v>#VALUE!</v>
      </c>
      <c r="T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</row>
    <row r="88" spans="1:122" ht="17.25" x14ac:dyDescent="0.3">
      <c r="A88" s="31">
        <f t="shared" si="4"/>
        <v>1</v>
      </c>
      <c r="B88" s="18">
        <f t="shared" si="5"/>
        <v>1</v>
      </c>
      <c r="C88" s="21"/>
      <c r="D88" s="21"/>
      <c r="E88" s="10" t="e" cm="1">
        <f t="array" ref="E88">LINEST(D88:D89,C88:C89)</f>
        <v>#VALUE!</v>
      </c>
      <c r="G88" s="13" t="e">
        <f t="shared" si="6"/>
        <v>#VALUE!</v>
      </c>
      <c r="J88" s="5" t="e">
        <v>#VALUE!</v>
      </c>
      <c r="T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</row>
    <row r="89" spans="1:122" ht="17.25" x14ac:dyDescent="0.3">
      <c r="A89" s="31">
        <f t="shared" si="4"/>
        <v>1</v>
      </c>
      <c r="B89" s="18">
        <f t="shared" si="5"/>
        <v>1</v>
      </c>
      <c r="C89" s="21"/>
      <c r="D89" s="21"/>
      <c r="E89" s="10" t="e" cm="1">
        <f t="array" ref="E89">LINEST(D89:D90,C89:C90)</f>
        <v>#VALUE!</v>
      </c>
      <c r="G89" s="13" t="e">
        <f t="shared" si="6"/>
        <v>#VALUE!</v>
      </c>
      <c r="J89" s="5" t="e">
        <v>#VALUE!</v>
      </c>
      <c r="T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</row>
    <row r="90" spans="1:122" ht="17.25" x14ac:dyDescent="0.3">
      <c r="A90" s="31">
        <f t="shared" si="4"/>
        <v>1</v>
      </c>
      <c r="B90" s="18">
        <f t="shared" si="5"/>
        <v>1</v>
      </c>
      <c r="C90" s="21"/>
      <c r="D90" s="21"/>
      <c r="E90" s="10" t="e" cm="1">
        <f t="array" ref="E90">LINEST(D90:D91,C90:C91)</f>
        <v>#VALUE!</v>
      </c>
      <c r="G90" s="13" t="e">
        <f t="shared" si="6"/>
        <v>#VALUE!</v>
      </c>
      <c r="J90" s="5" t="e">
        <v>#VALUE!</v>
      </c>
      <c r="T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</row>
    <row r="91" spans="1:122" ht="17.25" x14ac:dyDescent="0.3">
      <c r="A91" s="31">
        <f t="shared" si="4"/>
        <v>1</v>
      </c>
      <c r="B91" s="18">
        <f t="shared" si="5"/>
        <v>1</v>
      </c>
      <c r="C91" s="21"/>
      <c r="D91" s="21"/>
      <c r="E91" s="10" t="e" cm="1">
        <f t="array" ref="E91">LINEST(D91:D92,C91:C92)</f>
        <v>#VALUE!</v>
      </c>
      <c r="G91" s="13" t="e">
        <f t="shared" si="6"/>
        <v>#VALUE!</v>
      </c>
      <c r="J91" s="5" t="e">
        <v>#VALUE!</v>
      </c>
      <c r="T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</row>
    <row r="92" spans="1:122" ht="17.25" x14ac:dyDescent="0.3">
      <c r="A92" s="31">
        <f t="shared" si="4"/>
        <v>1</v>
      </c>
      <c r="B92" s="18">
        <f t="shared" si="5"/>
        <v>1</v>
      </c>
      <c r="C92" s="21"/>
      <c r="D92" s="21"/>
      <c r="E92" s="10" t="e" cm="1">
        <f t="array" ref="E92">LINEST(D92:D93,C92:C93)</f>
        <v>#VALUE!</v>
      </c>
      <c r="G92" s="13" t="e">
        <f t="shared" si="6"/>
        <v>#VALUE!</v>
      </c>
      <c r="J92" s="5" t="e">
        <v>#VALUE!</v>
      </c>
      <c r="T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</row>
    <row r="93" spans="1:122" ht="17.25" x14ac:dyDescent="0.3">
      <c r="A93" s="31">
        <f t="shared" si="4"/>
        <v>1</v>
      </c>
      <c r="B93" s="18">
        <f t="shared" si="5"/>
        <v>1</v>
      </c>
      <c r="C93" s="21"/>
      <c r="D93" s="21"/>
      <c r="E93" s="10" t="e" cm="1">
        <f t="array" ref="E93">LINEST(D93:D94,C93:C94)</f>
        <v>#VALUE!</v>
      </c>
      <c r="G93" s="13" t="e">
        <f t="shared" si="6"/>
        <v>#VALUE!</v>
      </c>
      <c r="J93" s="5" t="e">
        <v>#VALUE!</v>
      </c>
      <c r="T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</row>
    <row r="94" spans="1:122" ht="17.25" x14ac:dyDescent="0.3">
      <c r="A94" s="31">
        <f t="shared" si="4"/>
        <v>1</v>
      </c>
      <c r="B94" s="18">
        <f t="shared" si="5"/>
        <v>1</v>
      </c>
      <c r="C94" s="21"/>
      <c r="D94" s="21"/>
      <c r="E94" s="10" t="e" cm="1">
        <f t="array" ref="E94">LINEST(D94:D95,C94:C95)</f>
        <v>#VALUE!</v>
      </c>
      <c r="G94" s="13" t="e">
        <f t="shared" si="6"/>
        <v>#VALUE!</v>
      </c>
      <c r="J94" s="5" t="e">
        <v>#VALUE!</v>
      </c>
      <c r="T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</row>
    <row r="95" spans="1:122" ht="17.25" x14ac:dyDescent="0.3">
      <c r="A95" s="31">
        <f t="shared" si="4"/>
        <v>1</v>
      </c>
      <c r="B95" s="18">
        <f t="shared" si="5"/>
        <v>1</v>
      </c>
      <c r="C95" s="21"/>
      <c r="D95" s="21"/>
      <c r="E95" s="10" t="e" cm="1">
        <f t="array" ref="E95">LINEST(D95:D96,C95:C96)</f>
        <v>#VALUE!</v>
      </c>
      <c r="G95" s="13" t="e">
        <f t="shared" si="6"/>
        <v>#VALUE!</v>
      </c>
      <c r="J95" s="5" t="e">
        <v>#VALUE!</v>
      </c>
      <c r="T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</row>
    <row r="96" spans="1:122" ht="17.25" x14ac:dyDescent="0.3">
      <c r="A96" s="31">
        <f t="shared" si="4"/>
        <v>1</v>
      </c>
      <c r="B96" s="18">
        <f t="shared" si="5"/>
        <v>1</v>
      </c>
      <c r="C96" s="21"/>
      <c r="D96" s="21"/>
      <c r="E96" s="10" t="e" cm="1">
        <f t="array" ref="E96">LINEST(D96:D97,C96:C97)</f>
        <v>#VALUE!</v>
      </c>
      <c r="G96" s="13" t="e">
        <f t="shared" si="6"/>
        <v>#VALUE!</v>
      </c>
      <c r="J96" s="5" t="e">
        <v>#VALUE!</v>
      </c>
      <c r="T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</row>
    <row r="97" spans="1:122" ht="17.25" x14ac:dyDescent="0.3">
      <c r="A97" s="31">
        <f t="shared" si="4"/>
        <v>1</v>
      </c>
      <c r="B97" s="18">
        <f t="shared" si="5"/>
        <v>1</v>
      </c>
      <c r="C97" s="21"/>
      <c r="D97" s="21"/>
      <c r="E97" s="10" t="e" cm="1">
        <f t="array" ref="E97">LINEST(D97:D98,C97:C98)</f>
        <v>#VALUE!</v>
      </c>
      <c r="G97" s="13" t="e">
        <f t="shared" si="6"/>
        <v>#VALUE!</v>
      </c>
      <c r="J97" s="5" t="e">
        <v>#VALUE!</v>
      </c>
      <c r="T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</row>
    <row r="98" spans="1:122" ht="17.25" x14ac:dyDescent="0.3">
      <c r="A98" s="31">
        <f t="shared" si="4"/>
        <v>1</v>
      </c>
      <c r="B98" s="18">
        <f t="shared" si="5"/>
        <v>1</v>
      </c>
      <c r="C98" s="21"/>
      <c r="D98" s="21"/>
      <c r="E98" s="10" t="e" cm="1">
        <f t="array" ref="E98">LINEST(D98:D99,C98:C99)</f>
        <v>#VALUE!</v>
      </c>
      <c r="G98" s="13" t="e">
        <f t="shared" si="6"/>
        <v>#VALUE!</v>
      </c>
      <c r="J98" s="5" t="e">
        <v>#VALUE!</v>
      </c>
      <c r="T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</row>
    <row r="99" spans="1:122" ht="17.25" x14ac:dyDescent="0.3">
      <c r="A99" s="31">
        <f t="shared" si="4"/>
        <v>1</v>
      </c>
      <c r="B99" s="18">
        <f t="shared" si="5"/>
        <v>1</v>
      </c>
      <c r="C99" s="21"/>
      <c r="D99" s="21"/>
      <c r="E99" s="10" t="e" cm="1">
        <f t="array" ref="E99">LINEST(D99:D100,C99:C100)</f>
        <v>#VALUE!</v>
      </c>
      <c r="G99" s="13" t="e">
        <f t="shared" si="6"/>
        <v>#VALUE!</v>
      </c>
      <c r="J99" s="5" t="e">
        <v>#VALUE!</v>
      </c>
      <c r="T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</row>
    <row r="100" spans="1:122" ht="17.25" x14ac:dyDescent="0.3">
      <c r="A100" s="31">
        <f t="shared" si="4"/>
        <v>1</v>
      </c>
      <c r="B100" s="18">
        <f t="shared" si="5"/>
        <v>1</v>
      </c>
      <c r="C100" s="21"/>
      <c r="D100" s="21"/>
      <c r="E100" s="10" t="e" cm="1">
        <f t="array" ref="E100">LINEST(D100:D101,C100:C101)</f>
        <v>#VALUE!</v>
      </c>
      <c r="G100" s="13" t="e">
        <f t="shared" si="6"/>
        <v>#VALUE!</v>
      </c>
      <c r="J100" s="5" t="e">
        <v>#VALUE!</v>
      </c>
      <c r="T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</row>
    <row r="101" spans="1:122" ht="17.25" x14ac:dyDescent="0.3">
      <c r="A101" s="31">
        <f t="shared" si="4"/>
        <v>1</v>
      </c>
      <c r="B101" s="18">
        <f t="shared" si="5"/>
        <v>1</v>
      </c>
      <c r="C101" s="21"/>
      <c r="D101" s="21"/>
      <c r="E101" s="10" t="e" cm="1">
        <f t="array" ref="E101">LINEST(D101:D102,C101:C102)</f>
        <v>#VALUE!</v>
      </c>
      <c r="G101" s="13" t="e">
        <f t="shared" si="6"/>
        <v>#VALUE!</v>
      </c>
      <c r="J101" s="5" t="e">
        <v>#VALUE!</v>
      </c>
      <c r="T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</row>
    <row r="102" spans="1:122" ht="17.25" x14ac:dyDescent="0.3">
      <c r="A102" s="31">
        <f t="shared" si="4"/>
        <v>1</v>
      </c>
      <c r="B102" s="18">
        <f t="shared" si="5"/>
        <v>1</v>
      </c>
      <c r="C102" s="21"/>
      <c r="D102" s="21"/>
      <c r="E102" s="10" t="e" cm="1">
        <f t="array" ref="E102">LINEST(D102:D103,C102:C103)</f>
        <v>#VALUE!</v>
      </c>
      <c r="G102" s="13" t="e">
        <f t="shared" si="6"/>
        <v>#VALUE!</v>
      </c>
      <c r="J102" s="5" t="e">
        <v>#VALUE!</v>
      </c>
      <c r="T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</row>
    <row r="103" spans="1:122" ht="17.25" x14ac:dyDescent="0.3">
      <c r="A103" s="31">
        <f t="shared" si="4"/>
        <v>1</v>
      </c>
      <c r="B103" s="18">
        <f t="shared" si="5"/>
        <v>1</v>
      </c>
      <c r="C103" s="21"/>
      <c r="D103" s="21"/>
      <c r="E103" s="10" t="e" cm="1">
        <f t="array" ref="E103">LINEST(D103:D104,C103:C104)</f>
        <v>#VALUE!</v>
      </c>
      <c r="G103" s="13" t="e">
        <f t="shared" si="6"/>
        <v>#VALUE!</v>
      </c>
      <c r="J103" s="5" t="e">
        <v>#VALUE!</v>
      </c>
      <c r="T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</row>
    <row r="104" spans="1:122" ht="17.25" x14ac:dyDescent="0.3">
      <c r="A104" s="31">
        <f t="shared" si="4"/>
        <v>1</v>
      </c>
      <c r="B104" s="18">
        <f t="shared" si="5"/>
        <v>1</v>
      </c>
      <c r="C104" s="21"/>
      <c r="D104" s="21"/>
      <c r="E104" s="10" t="e" cm="1">
        <f t="array" ref="E104">LINEST(D104:D105,C104:C105)</f>
        <v>#VALUE!</v>
      </c>
      <c r="G104" s="13" t="e">
        <f t="shared" si="6"/>
        <v>#VALUE!</v>
      </c>
      <c r="J104" s="5" t="e">
        <v>#VALUE!</v>
      </c>
      <c r="T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</row>
    <row r="105" spans="1:122" ht="17.25" x14ac:dyDescent="0.3">
      <c r="A105" s="31">
        <f t="shared" ref="A105:A113" si="7">IF(OR($I$27&gt;=C105,$I$27&lt;=C106),1,0)</f>
        <v>1</v>
      </c>
      <c r="B105" s="18">
        <f t="shared" si="5"/>
        <v>1</v>
      </c>
      <c r="C105" s="21"/>
      <c r="D105" s="21"/>
      <c r="E105" s="10" t="e" cm="1">
        <f t="array" ref="E105">LINEST(D105:D106,C105:C106)</f>
        <v>#VALUE!</v>
      </c>
      <c r="G105" s="13" t="e">
        <f t="shared" si="6"/>
        <v>#VALUE!</v>
      </c>
      <c r="J105" s="5" t="e">
        <v>#VALUE!</v>
      </c>
      <c r="T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</row>
    <row r="106" spans="1:122" ht="17.25" x14ac:dyDescent="0.3">
      <c r="A106" s="31">
        <f t="shared" si="7"/>
        <v>1</v>
      </c>
      <c r="B106" s="18">
        <f t="shared" si="5"/>
        <v>1</v>
      </c>
      <c r="C106" s="21"/>
      <c r="D106" s="21"/>
      <c r="E106" s="10" t="e" cm="1">
        <f t="array" ref="E106">LINEST(D106:D107,C106:C107)</f>
        <v>#VALUE!</v>
      </c>
      <c r="G106" s="13" t="e">
        <f t="shared" si="6"/>
        <v>#VALUE!</v>
      </c>
      <c r="J106" s="5" t="e">
        <v>#VALUE!</v>
      </c>
      <c r="T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</row>
    <row r="107" spans="1:122" ht="17.25" x14ac:dyDescent="0.3">
      <c r="A107" s="31">
        <f t="shared" si="7"/>
        <v>1</v>
      </c>
      <c r="B107" s="18">
        <f t="shared" si="5"/>
        <v>1</v>
      </c>
      <c r="C107" s="21"/>
      <c r="D107" s="21"/>
      <c r="E107" s="10" t="e" cm="1">
        <f t="array" ref="E107">LINEST(D107:D108,C107:C108)</f>
        <v>#VALUE!</v>
      </c>
      <c r="G107" s="13" t="e">
        <f t="shared" si="6"/>
        <v>#VALUE!</v>
      </c>
      <c r="J107" s="5" t="e">
        <v>#VALUE!</v>
      </c>
      <c r="T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</row>
    <row r="108" spans="1:122" ht="17.25" x14ac:dyDescent="0.3">
      <c r="A108" s="31">
        <f t="shared" si="7"/>
        <v>1</v>
      </c>
      <c r="B108" s="18">
        <f t="shared" si="5"/>
        <v>1</v>
      </c>
      <c r="C108" s="21"/>
      <c r="D108" s="21"/>
      <c r="E108" s="10" t="e" cm="1">
        <f t="array" ref="E108">LINEST(D108:D109,C108:C109)</f>
        <v>#VALUE!</v>
      </c>
      <c r="G108" s="13" t="e">
        <f t="shared" si="6"/>
        <v>#VALUE!</v>
      </c>
      <c r="J108" s="5" t="e">
        <v>#VALUE!</v>
      </c>
      <c r="T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</row>
    <row r="109" spans="1:122" ht="17.25" x14ac:dyDescent="0.3">
      <c r="A109" s="31">
        <f t="shared" si="7"/>
        <v>1</v>
      </c>
      <c r="B109" s="18">
        <f t="shared" si="5"/>
        <v>1</v>
      </c>
      <c r="C109" s="21"/>
      <c r="D109" s="21"/>
      <c r="E109" s="10" t="e" cm="1">
        <f t="array" ref="E109">LINEST(D109:D110,C109:C110)</f>
        <v>#VALUE!</v>
      </c>
      <c r="G109" s="13" t="e">
        <f t="shared" si="6"/>
        <v>#VALUE!</v>
      </c>
      <c r="J109" s="5" t="e">
        <v>#VALUE!</v>
      </c>
      <c r="T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</row>
    <row r="110" spans="1:122" ht="17.25" x14ac:dyDescent="0.3">
      <c r="A110" s="31">
        <f t="shared" si="7"/>
        <v>1</v>
      </c>
      <c r="B110" s="18">
        <f t="shared" si="5"/>
        <v>1</v>
      </c>
      <c r="C110" s="21"/>
      <c r="D110" s="21"/>
      <c r="E110" s="10" t="e" cm="1">
        <f t="array" ref="E110">LINEST(D110:D111,C110:C111)</f>
        <v>#VALUE!</v>
      </c>
      <c r="G110" s="13" t="e">
        <f t="shared" si="6"/>
        <v>#VALUE!</v>
      </c>
      <c r="J110" s="5" t="e">
        <v>#VALUE!</v>
      </c>
      <c r="T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</row>
    <row r="111" spans="1:122" ht="17.25" x14ac:dyDescent="0.3">
      <c r="A111" s="31">
        <f t="shared" si="7"/>
        <v>1</v>
      </c>
      <c r="B111" s="18">
        <f t="shared" si="5"/>
        <v>1</v>
      </c>
      <c r="C111" s="21"/>
      <c r="D111" s="21"/>
      <c r="E111" s="10" t="e" cm="1">
        <f t="array" ref="E111">LINEST(D111:D112,C111:C112)</f>
        <v>#VALUE!</v>
      </c>
      <c r="G111" s="13" t="e">
        <f t="shared" si="6"/>
        <v>#VALUE!</v>
      </c>
      <c r="J111" s="5" t="e">
        <v>#VALUE!</v>
      </c>
      <c r="T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</row>
    <row r="112" spans="1:122" ht="17.25" x14ac:dyDescent="0.3">
      <c r="A112" s="31">
        <f t="shared" si="7"/>
        <v>1</v>
      </c>
      <c r="B112" s="18">
        <f t="shared" si="5"/>
        <v>1</v>
      </c>
      <c r="C112" s="21"/>
      <c r="D112" s="21"/>
      <c r="E112" s="10" t="e" cm="1">
        <f t="array" ref="E112">LINEST(D112:D113,C112:C113)</f>
        <v>#VALUE!</v>
      </c>
      <c r="G112" s="13" t="e">
        <f t="shared" si="6"/>
        <v>#VALUE!</v>
      </c>
      <c r="J112" s="5" t="e">
        <v>#VALUE!</v>
      </c>
      <c r="T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</row>
    <row r="113" spans="1:122" ht="17.25" x14ac:dyDescent="0.3">
      <c r="A113" s="31">
        <f t="shared" si="7"/>
        <v>1</v>
      </c>
      <c r="B113" s="18">
        <f t="shared" si="5"/>
        <v>1</v>
      </c>
      <c r="C113" s="21"/>
      <c r="D113" s="21"/>
      <c r="E113" s="11" t="e" cm="1">
        <f t="array" ref="E113">LINEST(D113:D114,C113:C114)</f>
        <v>#VALUE!</v>
      </c>
      <c r="F113" s="8"/>
      <c r="G113" s="13" t="e">
        <f t="shared" si="6"/>
        <v>#VALUE!</v>
      </c>
      <c r="J113" s="5" t="e">
        <v>#VALUE!</v>
      </c>
      <c r="T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</row>
    <row r="114" spans="1:122" x14ac:dyDescent="0.25">
      <c r="J114" s="5" t="e">
        <v>#VALUE!</v>
      </c>
      <c r="T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</row>
    <row r="115" spans="1:122" x14ac:dyDescent="0.25">
      <c r="J115" s="5" t="e">
        <v>#VALUE!</v>
      </c>
      <c r="T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</row>
    <row r="116" spans="1:122" x14ac:dyDescent="0.25">
      <c r="J116" s="5" t="e">
        <v>#VALUE!</v>
      </c>
      <c r="T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</row>
    <row r="117" spans="1:122" x14ac:dyDescent="0.25">
      <c r="J117" s="5" t="e">
        <v>#VALUE!</v>
      </c>
      <c r="T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</row>
    <row r="118" spans="1:122" x14ac:dyDescent="0.25">
      <c r="J118" s="5" t="e">
        <v>#VALUE!</v>
      </c>
      <c r="T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</row>
    <row r="119" spans="1:122" x14ac:dyDescent="0.25">
      <c r="J119" s="5" t="e">
        <v>#VALUE!</v>
      </c>
      <c r="T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</row>
    <row r="120" spans="1:122" x14ac:dyDescent="0.25">
      <c r="J120" s="5" t="e">
        <v>#VALUE!</v>
      </c>
      <c r="T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</row>
    <row r="121" spans="1:122" x14ac:dyDescent="0.25">
      <c r="J121" s="5" t="e">
        <v>#VALUE!</v>
      </c>
      <c r="T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</row>
    <row r="122" spans="1:122" x14ac:dyDescent="0.25">
      <c r="J122" s="5" t="e">
        <v>#VALUE!</v>
      </c>
      <c r="T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</row>
    <row r="123" spans="1:122" x14ac:dyDescent="0.25">
      <c r="J123" s="5" t="e">
        <v>#VALUE!</v>
      </c>
      <c r="T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</row>
    <row r="124" spans="1:122" x14ac:dyDescent="0.25">
      <c r="J124" s="5" t="e">
        <v>#VALUE!</v>
      </c>
      <c r="T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</row>
    <row r="125" spans="1:122" x14ac:dyDescent="0.25">
      <c r="J125" s="5" t="e">
        <v>#VALUE!</v>
      </c>
      <c r="T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</row>
    <row r="126" spans="1:122" x14ac:dyDescent="0.25">
      <c r="J126" s="5" t="e">
        <v>#VALUE!</v>
      </c>
      <c r="T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</row>
    <row r="127" spans="1:122" x14ac:dyDescent="0.25">
      <c r="J127" s="5" t="e">
        <v>#VALUE!</v>
      </c>
      <c r="T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</row>
    <row r="128" spans="1:122" x14ac:dyDescent="0.25">
      <c r="J128" s="5" t="e">
        <v>#VALUE!</v>
      </c>
      <c r="T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</row>
    <row r="129" spans="10:122" x14ac:dyDescent="0.25">
      <c r="J129" s="5" t="e">
        <v>#VALUE!</v>
      </c>
      <c r="T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</row>
    <row r="130" spans="10:122" x14ac:dyDescent="0.25">
      <c r="J130" s="5" t="e">
        <v>#VALUE!</v>
      </c>
      <c r="T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</row>
    <row r="131" spans="10:122" x14ac:dyDescent="0.25">
      <c r="J131" s="5" t="e">
        <v>#VALUE!</v>
      </c>
      <c r="T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</row>
    <row r="132" spans="10:122" x14ac:dyDescent="0.25">
      <c r="J132" s="5" t="e">
        <v>#VALUE!</v>
      </c>
      <c r="T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</row>
    <row r="133" spans="10:122" x14ac:dyDescent="0.25">
      <c r="J133" s="5" t="e">
        <v>#VALUE!</v>
      </c>
      <c r="T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</row>
    <row r="134" spans="10:122" x14ac:dyDescent="0.25">
      <c r="J134" s="5" t="e">
        <v>#VALUE!</v>
      </c>
      <c r="T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</row>
    <row r="135" spans="10:122" x14ac:dyDescent="0.25">
      <c r="J135" s="5" t="e">
        <v>#VALUE!</v>
      </c>
      <c r="T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</row>
    <row r="136" spans="10:122" x14ac:dyDescent="0.25">
      <c r="J136" s="5" t="e">
        <v>#VALUE!</v>
      </c>
      <c r="T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</row>
    <row r="137" spans="10:122" x14ac:dyDescent="0.25">
      <c r="J137" s="5" t="e">
        <v>#VALUE!</v>
      </c>
      <c r="T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</row>
    <row r="138" spans="10:122" x14ac:dyDescent="0.25">
      <c r="T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</row>
    <row r="139" spans="10:122" x14ac:dyDescent="0.25">
      <c r="T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</row>
    <row r="140" spans="10:122" x14ac:dyDescent="0.25">
      <c r="T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</row>
    <row r="141" spans="10:122" x14ac:dyDescent="0.25">
      <c r="T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</row>
    <row r="142" spans="10:122" x14ac:dyDescent="0.25">
      <c r="T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</row>
    <row r="143" spans="10:122" x14ac:dyDescent="0.25">
      <c r="T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</row>
    <row r="144" spans="10:122" x14ac:dyDescent="0.25">
      <c r="T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</row>
    <row r="145" spans="20:122" x14ac:dyDescent="0.25">
      <c r="T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</row>
    <row r="146" spans="20:122" x14ac:dyDescent="0.25">
      <c r="T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</row>
    <row r="147" spans="20:122" x14ac:dyDescent="0.25">
      <c r="T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</row>
    <row r="148" spans="20:122" x14ac:dyDescent="0.25">
      <c r="T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</row>
    <row r="149" spans="20:122" x14ac:dyDescent="0.25">
      <c r="T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</row>
    <row r="150" spans="20:122" x14ac:dyDescent="0.25">
      <c r="T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</row>
    <row r="151" spans="20:122" x14ac:dyDescent="0.25">
      <c r="T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</row>
    <row r="152" spans="20:122" x14ac:dyDescent="0.25">
      <c r="T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</row>
    <row r="153" spans="20:122" x14ac:dyDescent="0.25">
      <c r="T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</row>
    <row r="154" spans="20:122" x14ac:dyDescent="0.25">
      <c r="T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</row>
    <row r="155" spans="20:122" x14ac:dyDescent="0.25">
      <c r="T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</row>
    <row r="156" spans="20:122" x14ac:dyDescent="0.25">
      <c r="T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</row>
    <row r="157" spans="20:122" x14ac:dyDescent="0.25">
      <c r="T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</row>
    <row r="158" spans="20:122" x14ac:dyDescent="0.25">
      <c r="T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</row>
    <row r="159" spans="20:122" x14ac:dyDescent="0.25">
      <c r="T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</row>
    <row r="160" spans="20:122" x14ac:dyDescent="0.25">
      <c r="T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</row>
    <row r="161" spans="20:122" x14ac:dyDescent="0.25">
      <c r="T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</row>
    <row r="162" spans="20:122" x14ac:dyDescent="0.25">
      <c r="T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</row>
    <row r="163" spans="20:122" x14ac:dyDescent="0.25">
      <c r="T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</row>
    <row r="164" spans="20:122" x14ac:dyDescent="0.25">
      <c r="T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</row>
    <row r="165" spans="20:122" x14ac:dyDescent="0.25">
      <c r="T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</row>
    <row r="166" spans="20:122" x14ac:dyDescent="0.25">
      <c r="T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</row>
    <row r="167" spans="20:122" x14ac:dyDescent="0.25">
      <c r="T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</row>
    <row r="168" spans="20:122" x14ac:dyDescent="0.25">
      <c r="T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</row>
    <row r="169" spans="20:122" x14ac:dyDescent="0.25">
      <c r="T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</row>
    <row r="170" spans="20:122" x14ac:dyDescent="0.25">
      <c r="T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</row>
    <row r="171" spans="20:122" x14ac:dyDescent="0.25">
      <c r="T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</row>
    <row r="172" spans="20:122" x14ac:dyDescent="0.25">
      <c r="T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</row>
    <row r="173" spans="20:122" x14ac:dyDescent="0.25">
      <c r="T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</row>
    <row r="174" spans="20:122" x14ac:dyDescent="0.25">
      <c r="T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</row>
    <row r="175" spans="20:122" x14ac:dyDescent="0.25">
      <c r="T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</row>
    <row r="176" spans="20:122" x14ac:dyDescent="0.25">
      <c r="T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</row>
    <row r="177" spans="20:122" x14ac:dyDescent="0.25">
      <c r="T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</row>
    <row r="178" spans="20:122" x14ac:dyDescent="0.25">
      <c r="T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</row>
    <row r="179" spans="20:122" x14ac:dyDescent="0.25">
      <c r="T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</row>
    <row r="180" spans="20:122" x14ac:dyDescent="0.25">
      <c r="T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</row>
    <row r="181" spans="20:122" x14ac:dyDescent="0.25">
      <c r="T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</row>
    <row r="182" spans="20:122" x14ac:dyDescent="0.25">
      <c r="T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</row>
    <row r="183" spans="20:122" x14ac:dyDescent="0.25">
      <c r="T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</row>
    <row r="184" spans="20:122" x14ac:dyDescent="0.25">
      <c r="T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</row>
    <row r="185" spans="20:122" x14ac:dyDescent="0.25">
      <c r="T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</row>
    <row r="186" spans="20:122" x14ac:dyDescent="0.25">
      <c r="T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</row>
    <row r="187" spans="20:122" x14ac:dyDescent="0.25">
      <c r="T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</row>
    <row r="188" spans="20:122" x14ac:dyDescent="0.25">
      <c r="T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</row>
    <row r="189" spans="20:122" x14ac:dyDescent="0.25">
      <c r="T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</row>
    <row r="190" spans="20:122" x14ac:dyDescent="0.25">
      <c r="T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</row>
    <row r="191" spans="20:122" x14ac:dyDescent="0.25">
      <c r="T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</row>
    <row r="192" spans="20:122" x14ac:dyDescent="0.25">
      <c r="T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</row>
    <row r="193" spans="20:122" x14ac:dyDescent="0.25">
      <c r="T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</row>
    <row r="194" spans="20:122" x14ac:dyDescent="0.25">
      <c r="T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</row>
    <row r="195" spans="20:122" x14ac:dyDescent="0.25">
      <c r="T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</row>
    <row r="196" spans="20:122" x14ac:dyDescent="0.25">
      <c r="T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</row>
    <row r="197" spans="20:122" x14ac:dyDescent="0.25">
      <c r="T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</row>
    <row r="198" spans="20:122" x14ac:dyDescent="0.25">
      <c r="T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</row>
    <row r="199" spans="20:122" x14ac:dyDescent="0.25">
      <c r="T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</row>
    <row r="200" spans="20:122" x14ac:dyDescent="0.25">
      <c r="T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</row>
    <row r="201" spans="20:122" x14ac:dyDescent="0.25">
      <c r="T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</row>
    <row r="202" spans="20:122" x14ac:dyDescent="0.25">
      <c r="T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</row>
    <row r="203" spans="20:122" x14ac:dyDescent="0.25">
      <c r="T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</row>
    <row r="204" spans="20:122" x14ac:dyDescent="0.25">
      <c r="T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</row>
    <row r="205" spans="20:122" x14ac:dyDescent="0.25">
      <c r="T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</row>
    <row r="206" spans="20:122" x14ac:dyDescent="0.25">
      <c r="T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</row>
    <row r="207" spans="20:122" x14ac:dyDescent="0.25">
      <c r="T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</row>
    <row r="208" spans="20:122" x14ac:dyDescent="0.25">
      <c r="T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</row>
    <row r="209" spans="20:122" x14ac:dyDescent="0.25">
      <c r="T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</row>
    <row r="210" spans="20:122" x14ac:dyDescent="0.25">
      <c r="T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</row>
    <row r="211" spans="20:122" x14ac:dyDescent="0.25">
      <c r="T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</row>
  </sheetData>
  <sortState xmlns:xlrd2="http://schemas.microsoft.com/office/spreadsheetml/2017/richdata2" ref="T1:T211">
    <sortCondition ref="T1:T211"/>
  </sortState>
  <mergeCells count="4">
    <mergeCell ref="C1:S1"/>
    <mergeCell ref="Q33:S34"/>
    <mergeCell ref="O33:O34"/>
    <mergeCell ref="K29:L29"/>
  </mergeCells>
  <pageMargins left="0.7" right="0.7" top="0.75" bottom="0.75" header="0.3" footer="0.3"/>
  <pageSetup paperSize="9" orientation="portrait" horizontalDpi="1200" verticalDpi="1200" r:id="rId1"/>
  <ignoredErrors>
    <ignoredError sqref="E44:E113 G42:G11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lugie_macro_lecimy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4</xdr:col>
                    <xdr:colOff>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table">
                <anchor moveWithCells="1" sizeWithCells="1">
                  <from>
                    <xdr:col>2</xdr:col>
                    <xdr:colOff>9525</xdr:colOff>
                    <xdr:row>2</xdr:row>
                    <xdr:rowOff>28575</xdr:rowOff>
                  </from>
                  <to>
                    <xdr:col>3</xdr:col>
                    <xdr:colOff>0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B270-90A2-47D4-9FFE-AD6B8D8962E8}">
  <sheetPr codeName="Arkusz3"/>
  <dimension ref="A1"/>
  <sheetViews>
    <sheetView zoomScale="55" zoomScaleNormal="55" workbookViewId="0">
      <selection activeCell="AL50" sqref="AL5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</dc:creator>
  <cp:lastModifiedBy>PB</cp:lastModifiedBy>
  <dcterms:created xsi:type="dcterms:W3CDTF">2023-03-07T14:53:27Z</dcterms:created>
  <dcterms:modified xsi:type="dcterms:W3CDTF">2023-03-08T03:18:10Z</dcterms:modified>
</cp:coreProperties>
</file>
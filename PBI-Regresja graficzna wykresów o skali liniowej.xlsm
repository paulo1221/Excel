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aweł\Desktop\"/>
    </mc:Choice>
  </mc:AlternateContent>
  <xr:revisionPtr revIDLastSave="0" documentId="13_ncr:1_{3AD671BE-05D8-49DF-B8F0-13264FE3731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Arkusz1" sheetId="1" r:id="rId1"/>
    <sheet name="Example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1" l="1"/>
  <c r="P27" i="1"/>
  <c r="Q32" i="1" a="1"/>
  <c r="Q26" i="1" a="1"/>
  <c r="Q32" i="1" l="1"/>
  <c r="Q26" i="1"/>
  <c r="P30" i="1" l="1"/>
  <c r="M27" i="1"/>
  <c r="L27" i="1" s="1"/>
  <c r="E14" i="1" l="1" a="1"/>
  <c r="E14" i="1" s="1"/>
  <c r="E15" i="1" a="1"/>
  <c r="E15" i="1" s="1"/>
  <c r="E16" i="1" a="1"/>
  <c r="F16" i="1" s="1"/>
  <c r="E17" i="1" a="1"/>
  <c r="E17" i="1" s="1"/>
  <c r="E18" i="1" a="1"/>
  <c r="E18" i="1" s="1"/>
  <c r="E19" i="1" a="1"/>
  <c r="E19" i="1" s="1"/>
  <c r="E20" i="1" a="1"/>
  <c r="E20" i="1" s="1"/>
  <c r="E21" i="1" a="1"/>
  <c r="F21" i="1" s="1"/>
  <c r="E22" i="1" a="1"/>
  <c r="E22" i="1" s="1"/>
  <c r="E23" i="1" a="1"/>
  <c r="E23" i="1" s="1"/>
  <c r="E24" i="1" a="1"/>
  <c r="F24" i="1" s="1"/>
  <c r="E25" i="1" a="1"/>
  <c r="F25" i="1" s="1"/>
  <c r="E26" i="1" a="1"/>
  <c r="E26" i="1" s="1"/>
  <c r="E27" i="1" a="1"/>
  <c r="E27" i="1" s="1"/>
  <c r="E28" i="1" a="1"/>
  <c r="E28" i="1" s="1"/>
  <c r="E29" i="1" a="1"/>
  <c r="F29" i="1" s="1"/>
  <c r="E30" i="1" a="1"/>
  <c r="E30" i="1" s="1"/>
  <c r="E31" i="1" a="1"/>
  <c r="E31" i="1" s="1"/>
  <c r="E32" i="1" a="1"/>
  <c r="F32" i="1" s="1"/>
  <c r="E33" i="1" a="1"/>
  <c r="E33" i="1" s="1"/>
  <c r="E34" i="1" a="1"/>
  <c r="F34" i="1" s="1"/>
  <c r="E35" i="1" a="1"/>
  <c r="E35" i="1" s="1"/>
  <c r="E36" i="1" a="1"/>
  <c r="E36" i="1" s="1"/>
  <c r="E37" i="1" a="1"/>
  <c r="E37" i="1" s="1"/>
  <c r="E38" i="1" a="1"/>
  <c r="E38" i="1" s="1"/>
  <c r="E39" i="1" a="1"/>
  <c r="E39" i="1" s="1"/>
  <c r="E40" i="1" a="1"/>
  <c r="F40" i="1" s="1"/>
  <c r="E41" i="1" a="1"/>
  <c r="E41" i="1" s="1"/>
  <c r="E42" i="1" a="1"/>
  <c r="E42" i="1" s="1"/>
  <c r="E43" i="1" a="1"/>
  <c r="E43" i="1" s="1"/>
  <c r="E44" i="1" a="1"/>
  <c r="E44" i="1" s="1"/>
  <c r="E45" i="1" a="1"/>
  <c r="F45" i="1" s="1"/>
  <c r="E46" i="1" a="1"/>
  <c r="E46" i="1" s="1"/>
  <c r="E47" i="1" a="1"/>
  <c r="E47" i="1" s="1"/>
  <c r="E48" i="1" a="1"/>
  <c r="F48" i="1" s="1"/>
  <c r="E49" i="1" a="1"/>
  <c r="E49" i="1" s="1"/>
  <c r="E50" i="1" a="1"/>
  <c r="E50" i="1" s="1"/>
  <c r="E51" i="1" a="1"/>
  <c r="E51" i="1" s="1"/>
  <c r="E52" i="1" a="1"/>
  <c r="E52" i="1" s="1"/>
  <c r="E53" i="1" a="1"/>
  <c r="E53" i="1" s="1"/>
  <c r="E54" i="1" a="1"/>
  <c r="E54" i="1" s="1"/>
  <c r="E55" i="1" a="1"/>
  <c r="E55" i="1" s="1"/>
  <c r="E56" i="1" a="1"/>
  <c r="F56" i="1" s="1"/>
  <c r="E57" i="1" a="1"/>
  <c r="E57" i="1" s="1"/>
  <c r="E58" i="1" a="1"/>
  <c r="E58" i="1" s="1"/>
  <c r="E59" i="1" a="1"/>
  <c r="E59" i="1" s="1"/>
  <c r="E60" i="1" a="1"/>
  <c r="E60" i="1" s="1"/>
  <c r="E61" i="1" a="1"/>
  <c r="E61" i="1" s="1"/>
  <c r="E62" i="1" a="1"/>
  <c r="E62" i="1" s="1"/>
  <c r="E63" i="1" a="1"/>
  <c r="E63" i="1" s="1"/>
  <c r="E64" i="1" a="1"/>
  <c r="F64" i="1" s="1"/>
  <c r="E65" i="1" a="1"/>
  <c r="E65" i="1" s="1"/>
  <c r="E66" i="1" a="1"/>
  <c r="F66" i="1" s="1"/>
  <c r="E67" i="1" a="1"/>
  <c r="E67" i="1" s="1"/>
  <c r="E68" i="1" a="1"/>
  <c r="E68" i="1" s="1"/>
  <c r="E69" i="1" a="1"/>
  <c r="F69" i="1" s="1"/>
  <c r="E70" i="1" a="1"/>
  <c r="F70" i="1" s="1"/>
  <c r="E71" i="1" a="1"/>
  <c r="E71" i="1" s="1"/>
  <c r="E72" i="1" a="1"/>
  <c r="F72" i="1" s="1"/>
  <c r="E73" i="1" a="1"/>
  <c r="E73" i="1" s="1"/>
  <c r="E74" i="1" a="1"/>
  <c r="E74" i="1" s="1"/>
  <c r="E75" i="1" a="1"/>
  <c r="E75" i="1" s="1"/>
  <c r="E76" i="1" a="1"/>
  <c r="E76" i="1" s="1"/>
  <c r="E77" i="1" a="1"/>
  <c r="F77" i="1" s="1"/>
  <c r="E78" i="1" a="1"/>
  <c r="E78" i="1" s="1"/>
  <c r="E79" i="1" a="1"/>
  <c r="E79" i="1" s="1"/>
  <c r="E80" i="1" a="1"/>
  <c r="F80" i="1" s="1"/>
  <c r="E81" i="1" a="1"/>
  <c r="E81" i="1" s="1"/>
  <c r="E82" i="1" a="1"/>
  <c r="F82" i="1" s="1"/>
  <c r="E83" i="1" a="1"/>
  <c r="E83" i="1" s="1"/>
  <c r="E84" i="1" a="1"/>
  <c r="E84" i="1" s="1"/>
  <c r="E85" i="1" a="1"/>
  <c r="E85" i="1" s="1"/>
  <c r="E86" i="1" a="1"/>
  <c r="F86" i="1" s="1"/>
  <c r="E87" i="1" a="1"/>
  <c r="E87" i="1" s="1"/>
  <c r="E88" i="1" a="1"/>
  <c r="F88" i="1" s="1"/>
  <c r="E89" i="1" a="1"/>
  <c r="E89" i="1" s="1"/>
  <c r="E90" i="1" a="1"/>
  <c r="E90" i="1" s="1"/>
  <c r="E91" i="1" a="1"/>
  <c r="E91" i="1" s="1"/>
  <c r="E92" i="1" a="1"/>
  <c r="E92" i="1" s="1"/>
  <c r="E93" i="1" a="1"/>
  <c r="E93" i="1" s="1"/>
  <c r="E94" i="1" a="1"/>
  <c r="E94" i="1" s="1"/>
  <c r="E95" i="1" a="1"/>
  <c r="E95" i="1" s="1"/>
  <c r="E96" i="1" a="1"/>
  <c r="F96" i="1" s="1"/>
  <c r="E97" i="1" a="1"/>
  <c r="E97" i="1" s="1"/>
  <c r="E98" i="1" a="1"/>
  <c r="E98" i="1" s="1"/>
  <c r="E99" i="1" a="1"/>
  <c r="E99" i="1" s="1"/>
  <c r="E100" i="1" a="1"/>
  <c r="E100" i="1" s="1"/>
  <c r="E101" i="1" a="1"/>
  <c r="E101" i="1" s="1"/>
  <c r="E102" i="1" a="1"/>
  <c r="F102" i="1" s="1"/>
  <c r="E103" i="1" a="1"/>
  <c r="E103" i="1" s="1"/>
  <c r="E104" i="1" a="1"/>
  <c r="F104" i="1" s="1"/>
  <c r="E105" i="1" a="1"/>
  <c r="E105" i="1" s="1"/>
  <c r="E106" i="1" a="1"/>
  <c r="E106" i="1" s="1"/>
  <c r="E107" i="1" a="1"/>
  <c r="E107" i="1" s="1"/>
  <c r="E108" i="1" a="1"/>
  <c r="E108" i="1" s="1"/>
  <c r="E109" i="1" a="1"/>
  <c r="F109" i="1" s="1"/>
  <c r="E110" i="1" a="1"/>
  <c r="E110" i="1" s="1"/>
  <c r="E111" i="1" a="1"/>
  <c r="E111" i="1" s="1"/>
  <c r="E112" i="1" a="1"/>
  <c r="F112" i="1" s="1"/>
  <c r="E113" i="1" a="1"/>
  <c r="E113" i="1" s="1"/>
  <c r="E13" i="1" a="1"/>
  <c r="E13" i="1" s="1"/>
  <c r="E6" i="1" a="1"/>
  <c r="E6" i="1" s="1"/>
  <c r="E7" i="1" a="1"/>
  <c r="E7" i="1" s="1"/>
  <c r="E8" i="1" a="1"/>
  <c r="E9" i="1" a="1"/>
  <c r="E10" i="1" a="1"/>
  <c r="E10" i="1" s="1"/>
  <c r="E11" i="1" a="1"/>
  <c r="E11" i="1" s="1"/>
  <c r="E12" i="1" a="1"/>
  <c r="A17" i="1"/>
  <c r="E34" i="1" l="1"/>
  <c r="F53" i="1"/>
  <c r="F46" i="1"/>
  <c r="E69" i="1"/>
  <c r="F23" i="1"/>
  <c r="F111" i="1"/>
  <c r="F90" i="1"/>
  <c r="F55" i="1"/>
  <c r="E9" i="1"/>
  <c r="E86" i="1"/>
  <c r="F106" i="1"/>
  <c r="F85" i="1"/>
  <c r="E102" i="1"/>
  <c r="E82" i="1"/>
  <c r="E77" i="1"/>
  <c r="F42" i="1"/>
  <c r="F63" i="1"/>
  <c r="F30" i="1"/>
  <c r="F18" i="1"/>
  <c r="H18" i="1" s="1"/>
  <c r="F94" i="1"/>
  <c r="E8" i="1"/>
  <c r="F110" i="1"/>
  <c r="F79" i="1"/>
  <c r="F39" i="1"/>
  <c r="F98" i="1"/>
  <c r="F54" i="1"/>
  <c r="F50" i="1"/>
  <c r="F93" i="1"/>
  <c r="F38" i="1"/>
  <c r="E21" i="1"/>
  <c r="F71" i="1"/>
  <c r="F26" i="1"/>
  <c r="E109" i="1"/>
  <c r="F95" i="1"/>
  <c r="F78" i="1"/>
  <c r="F74" i="1"/>
  <c r="E70" i="1"/>
  <c r="E66" i="1"/>
  <c r="E45" i="1"/>
  <c r="E29" i="1"/>
  <c r="E25" i="1"/>
  <c r="F17" i="1"/>
  <c r="H17" i="1" s="1"/>
  <c r="F103" i="1"/>
  <c r="F61" i="1"/>
  <c r="F47" i="1"/>
  <c r="F31" i="1"/>
  <c r="F15" i="1"/>
  <c r="H15" i="1" s="1"/>
  <c r="F22" i="1"/>
  <c r="F101" i="1"/>
  <c r="F62" i="1"/>
  <c r="F58" i="1"/>
  <c r="F37" i="1"/>
  <c r="F33" i="1"/>
  <c r="E12" i="1"/>
  <c r="F87" i="1"/>
  <c r="E112" i="1"/>
  <c r="E104" i="1"/>
  <c r="E96" i="1"/>
  <c r="E88" i="1"/>
  <c r="E80" i="1"/>
  <c r="E72" i="1"/>
  <c r="E64" i="1"/>
  <c r="E56" i="1"/>
  <c r="E48" i="1"/>
  <c r="E40" i="1"/>
  <c r="E32" i="1"/>
  <c r="E24" i="1"/>
  <c r="E16" i="1"/>
  <c r="H16" i="1" s="1"/>
  <c r="F108" i="1"/>
  <c r="F100" i="1"/>
  <c r="F92" i="1"/>
  <c r="F84" i="1"/>
  <c r="F76" i="1"/>
  <c r="F68" i="1"/>
  <c r="F60" i="1"/>
  <c r="F52" i="1"/>
  <c r="F44" i="1"/>
  <c r="F36" i="1"/>
  <c r="F28" i="1"/>
  <c r="F20" i="1"/>
  <c r="H20" i="1" s="1"/>
  <c r="F113" i="1"/>
  <c r="F105" i="1"/>
  <c r="F97" i="1"/>
  <c r="F89" i="1"/>
  <c r="F81" i="1"/>
  <c r="F73" i="1"/>
  <c r="F65" i="1"/>
  <c r="F57" i="1"/>
  <c r="F49" i="1"/>
  <c r="F41" i="1"/>
  <c r="F14" i="1"/>
  <c r="H14" i="1" s="1"/>
  <c r="F99" i="1"/>
  <c r="F35" i="1"/>
  <c r="F27" i="1"/>
  <c r="F19" i="1"/>
  <c r="H19" i="1" s="1"/>
  <c r="F107" i="1"/>
  <c r="F91" i="1"/>
  <c r="F83" i="1"/>
  <c r="F75" i="1"/>
  <c r="F67" i="1"/>
  <c r="F59" i="1"/>
  <c r="F51" i="1"/>
  <c r="F43" i="1"/>
  <c r="F13" i="1"/>
  <c r="H6" i="1" s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51" i="1"/>
  <c r="B51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A78" i="1"/>
  <c r="B78" i="1"/>
  <c r="A79" i="1"/>
  <c r="B79" i="1"/>
  <c r="A80" i="1"/>
  <c r="B80" i="1"/>
  <c r="A81" i="1"/>
  <c r="B81" i="1"/>
  <c r="A82" i="1"/>
  <c r="B82" i="1"/>
  <c r="A83" i="1"/>
  <c r="B83" i="1"/>
  <c r="A84" i="1"/>
  <c r="B84" i="1"/>
  <c r="A85" i="1"/>
  <c r="B85" i="1"/>
  <c r="A86" i="1"/>
  <c r="B86" i="1"/>
  <c r="A87" i="1"/>
  <c r="B87" i="1"/>
  <c r="A88" i="1"/>
  <c r="B88" i="1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G6" i="1" l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6" i="1"/>
  <c r="A9" i="1"/>
  <c r="A10" i="1"/>
  <c r="A11" i="1"/>
  <c r="A12" i="1"/>
  <c r="A13" i="1"/>
  <c r="A14" i="1"/>
  <c r="A15" i="1"/>
  <c r="A16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6" i="1"/>
  <c r="A7" i="1"/>
  <c r="A8" i="1"/>
  <c r="P31" i="1" l="1"/>
  <c r="P28" i="1"/>
  <c r="G14" i="1" l="1"/>
  <c r="G15" i="1"/>
  <c r="G16" i="1"/>
  <c r="G17" i="1"/>
  <c r="G18" i="1"/>
  <c r="G19" i="1"/>
  <c r="G20" i="1"/>
  <c r="G87" i="1" l="1"/>
  <c r="H87" i="1"/>
  <c r="G47" i="1"/>
  <c r="H47" i="1"/>
  <c r="G102" i="1"/>
  <c r="H102" i="1"/>
  <c r="G94" i="1"/>
  <c r="H94" i="1"/>
  <c r="G86" i="1"/>
  <c r="H86" i="1"/>
  <c r="G78" i="1"/>
  <c r="H78" i="1"/>
  <c r="G70" i="1"/>
  <c r="H70" i="1"/>
  <c r="G62" i="1"/>
  <c r="H62" i="1"/>
  <c r="G54" i="1"/>
  <c r="H54" i="1"/>
  <c r="G46" i="1"/>
  <c r="H46" i="1"/>
  <c r="G79" i="1"/>
  <c r="H79" i="1"/>
  <c r="G109" i="1"/>
  <c r="H109" i="1"/>
  <c r="G101" i="1"/>
  <c r="H101" i="1"/>
  <c r="G93" i="1"/>
  <c r="H93" i="1"/>
  <c r="G85" i="1"/>
  <c r="H85" i="1"/>
  <c r="G77" i="1"/>
  <c r="H77" i="1"/>
  <c r="G69" i="1"/>
  <c r="H69" i="1"/>
  <c r="G61" i="1"/>
  <c r="H61" i="1"/>
  <c r="G53" i="1"/>
  <c r="H53" i="1"/>
  <c r="G45" i="1"/>
  <c r="H45" i="1"/>
  <c r="G71" i="1"/>
  <c r="H71" i="1"/>
  <c r="G55" i="1"/>
  <c r="H55" i="1"/>
  <c r="G110" i="1"/>
  <c r="H110" i="1"/>
  <c r="G92" i="1"/>
  <c r="H92" i="1"/>
  <c r="G84" i="1"/>
  <c r="H84" i="1"/>
  <c r="G76" i="1"/>
  <c r="H76" i="1"/>
  <c r="G68" i="1"/>
  <c r="H68" i="1"/>
  <c r="G60" i="1"/>
  <c r="H60" i="1"/>
  <c r="G52" i="1"/>
  <c r="H52" i="1"/>
  <c r="G44" i="1"/>
  <c r="H44" i="1"/>
  <c r="G95" i="1"/>
  <c r="H95" i="1"/>
  <c r="G100" i="1"/>
  <c r="H100" i="1"/>
  <c r="G107" i="1"/>
  <c r="H107" i="1"/>
  <c r="G99" i="1"/>
  <c r="H99" i="1"/>
  <c r="G91" i="1"/>
  <c r="H91" i="1"/>
  <c r="G83" i="1"/>
  <c r="H83" i="1"/>
  <c r="G75" i="1"/>
  <c r="H75" i="1"/>
  <c r="G67" i="1"/>
  <c r="H67" i="1"/>
  <c r="G59" i="1"/>
  <c r="H59" i="1"/>
  <c r="G51" i="1"/>
  <c r="H51" i="1"/>
  <c r="G43" i="1"/>
  <c r="H43" i="1"/>
  <c r="G111" i="1"/>
  <c r="H111" i="1"/>
  <c r="G98" i="1"/>
  <c r="H98" i="1"/>
  <c r="G90" i="1"/>
  <c r="H90" i="1"/>
  <c r="G82" i="1"/>
  <c r="H82" i="1"/>
  <c r="G74" i="1"/>
  <c r="H74" i="1"/>
  <c r="G66" i="1"/>
  <c r="H66" i="1"/>
  <c r="G58" i="1"/>
  <c r="H58" i="1"/>
  <c r="G50" i="1"/>
  <c r="H50" i="1"/>
  <c r="G42" i="1"/>
  <c r="H42" i="1"/>
  <c r="G103" i="1"/>
  <c r="H103" i="1"/>
  <c r="G108" i="1"/>
  <c r="H108" i="1"/>
  <c r="G106" i="1"/>
  <c r="H106" i="1"/>
  <c r="G105" i="1"/>
  <c r="H105" i="1"/>
  <c r="G89" i="1"/>
  <c r="H89" i="1"/>
  <c r="G81" i="1"/>
  <c r="H81" i="1"/>
  <c r="G73" i="1"/>
  <c r="H73" i="1"/>
  <c r="G65" i="1"/>
  <c r="H65" i="1"/>
  <c r="G57" i="1"/>
  <c r="H57" i="1"/>
  <c r="G49" i="1"/>
  <c r="H49" i="1"/>
  <c r="G63" i="1"/>
  <c r="H63" i="1"/>
  <c r="G113" i="1"/>
  <c r="H113" i="1"/>
  <c r="G97" i="1"/>
  <c r="H97" i="1"/>
  <c r="G112" i="1"/>
  <c r="H112" i="1"/>
  <c r="G104" i="1"/>
  <c r="H104" i="1"/>
  <c r="G96" i="1"/>
  <c r="H96" i="1"/>
  <c r="G88" i="1"/>
  <c r="H88" i="1"/>
  <c r="G80" i="1"/>
  <c r="H80" i="1"/>
  <c r="G72" i="1"/>
  <c r="H72" i="1"/>
  <c r="G64" i="1"/>
  <c r="H64" i="1"/>
  <c r="G56" i="1"/>
  <c r="H56" i="1"/>
  <c r="G48" i="1"/>
  <c r="H48" i="1"/>
  <c r="G23" i="1"/>
  <c r="H23" i="1"/>
  <c r="G22" i="1"/>
  <c r="H22" i="1"/>
  <c r="G21" i="1"/>
  <c r="H21" i="1"/>
  <c r="G30" i="1"/>
  <c r="H30" i="1"/>
  <c r="G41" i="1"/>
  <c r="H41" i="1"/>
  <c r="G39" i="1"/>
  <c r="H39" i="1"/>
  <c r="G31" i="1"/>
  <c r="H31" i="1"/>
  <c r="G29" i="1"/>
  <c r="H29" i="1"/>
  <c r="G36" i="1"/>
  <c r="H36" i="1"/>
  <c r="G28" i="1"/>
  <c r="H28" i="1"/>
  <c r="G38" i="1"/>
  <c r="H38" i="1"/>
  <c r="G35" i="1"/>
  <c r="H35" i="1"/>
  <c r="G27" i="1"/>
  <c r="H27" i="1"/>
  <c r="G37" i="1"/>
  <c r="H37" i="1"/>
  <c r="G34" i="1"/>
  <c r="H34" i="1"/>
  <c r="G26" i="1"/>
  <c r="H26" i="1"/>
  <c r="G33" i="1"/>
  <c r="H33" i="1"/>
  <c r="G25" i="1"/>
  <c r="H25" i="1"/>
  <c r="G40" i="1"/>
  <c r="H40" i="1"/>
  <c r="G32" i="1"/>
  <c r="H32" i="1"/>
  <c r="G24" i="1"/>
  <c r="H24" i="1"/>
  <c r="Q27" i="1" a="1"/>
  <c r="Q28" i="1" a="1"/>
  <c r="Q30" i="1" a="1"/>
  <c r="Q31" i="1" a="1"/>
  <c r="Q28" i="1" l="1"/>
  <c r="Q30" i="1"/>
  <c r="Q31" i="1"/>
  <c r="Q27" i="1"/>
  <c r="G11" i="1" l="1"/>
  <c r="H11" i="1"/>
  <c r="G12" i="1"/>
  <c r="H12" i="1"/>
  <c r="G13" i="1"/>
  <c r="H13" i="1"/>
  <c r="G7" i="1"/>
  <c r="H7" i="1"/>
  <c r="G8" i="1"/>
  <c r="H8" i="1"/>
  <c r="G9" i="1"/>
  <c r="H9" i="1"/>
  <c r="G10" i="1"/>
  <c r="H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<sst xmlns="http://schemas.openxmlformats.org/spreadsheetml/2006/main" count="23" uniqueCount="19">
  <si>
    <t>Y min</t>
  </si>
  <si>
    <t>Y max</t>
  </si>
  <si>
    <t>X min</t>
  </si>
  <si>
    <t>X max</t>
  </si>
  <si>
    <t>X adjust</t>
  </si>
  <si>
    <t>Y adjust</t>
  </si>
  <si>
    <t>"=setchartaxis("arkusz1";"Wykres 1";"Major";"Unit";"Primary";K37)</t>
  </si>
  <si>
    <t>Y adjust (user input)</t>
  </si>
  <si>
    <t>Auto</t>
  </si>
  <si>
    <t>-</t>
  </si>
  <si>
    <t>+</t>
  </si>
  <si>
    <t>Szukany X</t>
  </si>
  <si>
    <t>Y regresja R2</t>
  </si>
  <si>
    <t xml:space="preserve">6.9124_x000D_
152.0737_x000D_
290.3226_x000D_
463.1336_x000D_
691.2442_x000D_
953.9171_x000D_
1122.8288_x000D_
1296.5261_x000D_
1463.1336_x000D_
1633.2861_x000D_
1796.3488_x000D_
1927.508_x000D_
2079.9362_x000D_
2289.0819_x000D_
2434.4204_x000D_
2558.4899_x000D_
2647.111_x000D_
2732.1872_x000D_
2771.1804_x000D_
2798.3927_x000D_
2817.2634_x000D_
2803.084_x000D_
2781.815_x000D_
2753.4562_x000D_
2725.0975_x000D_
2675.4697_x000D_
2625.8419_x000D_
2576.2141_x000D_
2515.9518_x000D_
</t>
  </si>
  <si>
    <t xml:space="preserve">0_x000D_
38.0952_x000D_
69.3878_x000D_
110.2041_x000D_
161.9048_x000D_
221.7687_x000D_
259.5849_x000D_
291.6797_x000D_
319.5883_x000D_
345.4038_x000D_
362.149_x000D_
371.917_x000D_
374.7078_x000D_
374.7078_x000D_
367.7307_x000D_
355.8695_x000D_
341.2175_x000D_
316.0998_x000D_
297.9592_x000D_
272.6894_x000D_
239.3511_x000D_
210.0471_x000D_
177.2545_x000D_
145.1596_x000D_
125.6236_x000D_
99.1104_x000D_
67.7132_x000D_
34.2229_x000D_
2.128_x000D_
</t>
  </si>
  <si>
    <t>{"graphData":{"zoom_f":1.95,"max_zoom":2,"min_zoom":0.4,"zoom_incr":1.25,"img_height":341,"img_width":530,"mode":"Freeform","show_grid_flag":false,"mousex":28,"mousey":658,"axis_box":{"x0":55,"y0":5,"w":434,"h":294,"rot_degr":0},"fixpoints":{"x":[56,77,97,122,155,193,217.43589743589743,242.56410256410248,266.6666666666667,291.28205128205127,314.87179487179486,333.84615384615387,355.8974358974359,386.1538461538462,407.1794871794872,425.12820512820514,437.94871794871796,450.2564102564103,455.897435897436,459.8341401149359,462.5641025641026,460.5128205128205,457.43589743589746,453.33333333333337,449.2307692307692,442.05128205128204,434.87179487179486,427.6923076923077,418.97435897435895],"y":[299,271,248,218,180,136,108.2051282051282,84.6153846153846,64.1025641025641,45.12820512820513,32.820512820512825,25.641025641025642,23.58974358974359,23.58974358974359,28.71794871794872,37.43589743589744,48.205128205128204,66.66666666666667,80.00000000000006,98.5732603876324,123.07692307692308,144.6153846153846,168.71794871794873,192.30769230769232,206.66666666666666,226.15384615384616,249.23076923076923,273.84615384615387,297.4358974358974]}},"uiData":{"filename_field":"Image from Clipboard","input_zoom":1.95,"input_rotate":0,"check_snapmode":false,"check_show_x_grid":false,"stats_div":"No furhter stats at this time","button_redraw_sampled":"Show sampled curve(1)","button_redraw_postproc":"Show post processed","check_stats":false,"radio_mode":"Freeform","input_y_high":400,"input_y_low":0,"input_x_low":0,"input_x_high":3000,"check_logy":false,"check_logx":false,"check_log_equidist":true,"radio_intervals":"stepsize","input_stepsize":500,"input_intervals":"25","check_start_first":true,"radio_sampletype":"interpolation","radio_linear":"linear","select_interp_type":"cubic","input_poly_fit_order":"1","input_moving_avg_len":"5","input_moving_gauss_len":"5","input_spline_smoothing":"5","input_denoise_window":"5","radio_machinetype":"basic","radio_postproctype":"none","input_precision":"4","radio_output":"csv","select_csv_format":"tab","span_accuracy":"NA","check_logy_plot":false,"check_logx_plot":false}}</t>
  </si>
  <si>
    <t>Entalpia/przykład</t>
  </si>
  <si>
    <t>Entalpia właściwa [kJ/kg]</t>
  </si>
  <si>
    <t>Temperatura [^C)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</si>
</sst>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sz val="12"/>
      <color theme="1"/>
      <name val="Segoe UI"/>
      <family val="2"/>
      <charset val="238"/>
    </font>
    <font>
      <sz val="17"/>
      <color rgb="FFE2EEFF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0" fontId="6" fillId="4" borderId="0" xfId="3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alignment horizontal="left" vertical="center"/>
      <protection locked="0"/>
    </xf>
    <xf numFmtId="0" fontId="5" fillId="0" borderId="0" xfId="2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 wrapText="1"/>
      <protection locked="0"/>
    </xf>
    <xf numFmtId="3" fontId="4" fillId="0" borderId="0" xfId="0" applyNumberFormat="1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4" fillId="0" borderId="0" xfId="1" applyFont="1" applyFill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2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alignment horizontal="center" vertical="center"/>
      <protection locked="0"/>
    </xf>
    <xf numFmtId="11" fontId="4" fillId="0" borderId="0" xfId="0" applyNumberFormat="1" applyFont="1" applyAlignment="1" applyProtection="1">
      <alignment horizontal="left" vertical="center"/>
      <protection locked="0"/>
    </xf>
    <xf numFmtId="0" fontId="5" fillId="0" borderId="0" xfId="1" applyFont="1" applyFill="1" applyBorder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4" fillId="0" borderId="0" xfId="0" applyFont="1" applyProtection="1">
      <protection locked="0"/>
    </xf>
    <xf numFmtId="2" fontId="5" fillId="0" borderId="0" xfId="2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right"/>
      <protection locked="0"/>
    </xf>
    <xf numFmtId="0" fontId="5" fillId="0" borderId="0" xfId="1" applyFont="1" applyFill="1" applyBorder="1" applyAlignment="1" applyProtection="1">
      <alignment horizontal="left" vertical="center" wrapText="1"/>
      <protection locked="0"/>
    </xf>
    <xf numFmtId="0" fontId="4" fillId="0" borderId="0" xfId="1" applyFont="1" applyFill="1" applyBorder="1" applyAlignment="1" applyProtection="1">
      <alignment horizontal="left" vertical="center" wrapText="1"/>
      <protection locked="0"/>
    </xf>
    <xf numFmtId="0" fontId="4" fillId="0" borderId="0" xfId="1" applyFon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horizontal="left" vertical="center" wrapText="1"/>
      <protection locked="0"/>
    </xf>
    <xf numFmtId="0" fontId="8" fillId="0" borderId="0" xfId="0" applyFont="1"/>
  </cellXfs>
  <cellStyles count="4">
    <cellStyle name="Dane wejściowe" xfId="1" builtinId="20"/>
    <cellStyle name="Dane wyjściowe" xfId="2" builtinId="21"/>
    <cellStyle name="Hiperłącze" xfId="3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Arkusz1!$O$23</c:f>
          <c:strCache>
            <c:ptCount val="1"/>
            <c:pt idx="0">
              <c:v>Entalpia/przykład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6.140038636325363E-2"/>
          <c:y val="0.10202818773505926"/>
          <c:w val="0.89585792610020887"/>
          <c:h val="0.78435294591929916"/>
        </c:manualLayout>
      </c:layout>
      <c:scatterChart>
        <c:scatterStyle val="lineMarker"/>
        <c:varyColors val="0"/>
        <c:ser>
          <c:idx val="6"/>
          <c:order val="0"/>
          <c:tx>
            <c:v>XY z GraphReader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Arkusz1!$C$6:$C$49</c:f>
              <c:numCache>
                <c:formatCode>General</c:formatCode>
                <c:ptCount val="44"/>
                <c:pt idx="0">
                  <c:v>6.9123999999999999</c:v>
                </c:pt>
                <c:pt idx="1">
                  <c:v>152.0737</c:v>
                </c:pt>
                <c:pt idx="2">
                  <c:v>290.32260000000002</c:v>
                </c:pt>
                <c:pt idx="3">
                  <c:v>463.1336</c:v>
                </c:pt>
                <c:pt idx="4">
                  <c:v>691.24419999999998</c:v>
                </c:pt>
                <c:pt idx="5">
                  <c:v>953.9171</c:v>
                </c:pt>
                <c:pt idx="6">
                  <c:v>1122.8288</c:v>
                </c:pt>
                <c:pt idx="7">
                  <c:v>1296.5261</c:v>
                </c:pt>
                <c:pt idx="8">
                  <c:v>1463.1335999999999</c:v>
                </c:pt>
                <c:pt idx="9">
                  <c:v>1633.2861</c:v>
                </c:pt>
                <c:pt idx="10">
                  <c:v>1796.3488</c:v>
                </c:pt>
                <c:pt idx="11">
                  <c:v>1927.508</c:v>
                </c:pt>
                <c:pt idx="12">
                  <c:v>2079.9362000000001</c:v>
                </c:pt>
                <c:pt idx="13">
                  <c:v>2289.0819000000001</c:v>
                </c:pt>
                <c:pt idx="14">
                  <c:v>2434.4204</c:v>
                </c:pt>
                <c:pt idx="15">
                  <c:v>2558.4899</c:v>
                </c:pt>
                <c:pt idx="16">
                  <c:v>2647.1109999999999</c:v>
                </c:pt>
                <c:pt idx="17">
                  <c:v>2732.1871999999998</c:v>
                </c:pt>
                <c:pt idx="18">
                  <c:v>2771.1804000000002</c:v>
                </c:pt>
                <c:pt idx="19">
                  <c:v>2798.3926999999999</c:v>
                </c:pt>
                <c:pt idx="20">
                  <c:v>2817.2633999999998</c:v>
                </c:pt>
                <c:pt idx="21">
                  <c:v>2803.0839999999998</c:v>
                </c:pt>
                <c:pt idx="22">
                  <c:v>2781.8150000000001</c:v>
                </c:pt>
                <c:pt idx="23">
                  <c:v>2753.4562000000001</c:v>
                </c:pt>
                <c:pt idx="24">
                  <c:v>2725.0974999999999</c:v>
                </c:pt>
                <c:pt idx="25">
                  <c:v>2675.4697000000001</c:v>
                </c:pt>
                <c:pt idx="26">
                  <c:v>2625.8418999999999</c:v>
                </c:pt>
                <c:pt idx="27">
                  <c:v>2576.2141000000001</c:v>
                </c:pt>
                <c:pt idx="28">
                  <c:v>2515.9517999999998</c:v>
                </c:pt>
              </c:numCache>
            </c:numRef>
          </c:xVal>
          <c:yVal>
            <c:numRef>
              <c:f>Arkusz1!$D$6:$D$49</c:f>
              <c:numCache>
                <c:formatCode>General</c:formatCode>
                <c:ptCount val="44"/>
                <c:pt idx="0">
                  <c:v>0</c:v>
                </c:pt>
                <c:pt idx="1">
                  <c:v>38.095199999999998</c:v>
                </c:pt>
                <c:pt idx="2">
                  <c:v>69.387799999999999</c:v>
                </c:pt>
                <c:pt idx="3">
                  <c:v>110.2041</c:v>
                </c:pt>
                <c:pt idx="4">
                  <c:v>161.90479999999999</c:v>
                </c:pt>
                <c:pt idx="5">
                  <c:v>221.7687</c:v>
                </c:pt>
                <c:pt idx="6">
                  <c:v>259.5849</c:v>
                </c:pt>
                <c:pt idx="7">
                  <c:v>291.67970000000003</c:v>
                </c:pt>
                <c:pt idx="8">
                  <c:v>319.5883</c:v>
                </c:pt>
                <c:pt idx="9">
                  <c:v>345.40379999999999</c:v>
                </c:pt>
                <c:pt idx="10">
                  <c:v>362.149</c:v>
                </c:pt>
                <c:pt idx="11">
                  <c:v>371.91699999999997</c:v>
                </c:pt>
                <c:pt idx="12">
                  <c:v>374.70780000000002</c:v>
                </c:pt>
                <c:pt idx="13">
                  <c:v>374.70780000000002</c:v>
                </c:pt>
                <c:pt idx="14">
                  <c:v>367.73070000000001</c:v>
                </c:pt>
                <c:pt idx="15">
                  <c:v>355.86950000000002</c:v>
                </c:pt>
                <c:pt idx="16">
                  <c:v>341.21749999999997</c:v>
                </c:pt>
                <c:pt idx="17">
                  <c:v>316.09980000000002</c:v>
                </c:pt>
                <c:pt idx="18">
                  <c:v>297.95920000000001</c:v>
                </c:pt>
                <c:pt idx="19">
                  <c:v>272.68939999999998</c:v>
                </c:pt>
                <c:pt idx="20">
                  <c:v>239.3511</c:v>
                </c:pt>
                <c:pt idx="21">
                  <c:v>210.0471</c:v>
                </c:pt>
                <c:pt idx="22">
                  <c:v>177.25450000000001</c:v>
                </c:pt>
                <c:pt idx="23">
                  <c:v>145.15960000000001</c:v>
                </c:pt>
                <c:pt idx="24">
                  <c:v>125.6236</c:v>
                </c:pt>
                <c:pt idx="25">
                  <c:v>99.110399999999998</c:v>
                </c:pt>
                <c:pt idx="26">
                  <c:v>67.713200000000001</c:v>
                </c:pt>
                <c:pt idx="27">
                  <c:v>34.222900000000003</c:v>
                </c:pt>
                <c:pt idx="28">
                  <c:v>2.1280000000000001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F2A-4DF9-B449-0B3D0EEFE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700032"/>
        <c:axId val="2107026192"/>
      </c:scatterChart>
      <c:scatterChart>
        <c:scatterStyle val="smoothMarker"/>
        <c:varyColors val="0"/>
        <c:ser>
          <c:idx val="7"/>
          <c:order val="1"/>
          <c:tx>
            <c:v>Punkt1</c:v>
          </c:tx>
          <c:marker>
            <c:symbol val="diamond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-6.6436195933803413E-3"/>
                  <c:y val="-9.91529745696671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F2A-4DF9-B449-0B3D0EEFEA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minus"/>
            <c:errValType val="percentage"/>
            <c:noEndCap val="0"/>
            <c:val val="100"/>
            <c:spPr>
              <a:ln w="6350"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bg2">
                    <a:lumMod val="90000"/>
                  </a:schemeClr>
                </a:solidFill>
                <a:prstDash val="solid"/>
              </a:ln>
            </c:spPr>
          </c:errBars>
          <c:xVal>
            <c:numRef>
              <c:f>Arkusz1!$I$30</c:f>
              <c:numCache>
                <c:formatCode>General</c:formatCode>
                <c:ptCount val="1"/>
              </c:numCache>
            </c:numRef>
          </c:xVal>
          <c:yVal>
            <c:numRef>
              <c:f>Arkusz1!$J$30</c:f>
              <c:numCache>
                <c:formatCode>0.00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7F2A-4DF9-B449-0B3D0EEFEA25}"/>
            </c:ext>
          </c:extLst>
        </c:ser>
        <c:ser>
          <c:idx val="4"/>
          <c:order val="2"/>
          <c:tx>
            <c:v>Punkt2</c:v>
          </c:tx>
          <c:marker>
            <c:symbol val="diamond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3.5030620585856473E-2"/>
                  <c:y val="-3.12587950160035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F2A-4DF9-B449-0B3D0EEFEA2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minus"/>
            <c:errValType val="percentage"/>
            <c:noEndCap val="0"/>
            <c:val val="100"/>
            <c:spPr>
              <a:ln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errBars>
            <c:errDir val="y"/>
            <c:errBarType val="minus"/>
            <c:errValType val="percentage"/>
            <c:noEndCap val="0"/>
            <c:val val="100"/>
            <c:spPr>
              <a:ln w="6350"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xVal>
            <c:numRef>
              <c:f>Arkusz1!$K$30</c:f>
              <c:numCache>
                <c:formatCode>General</c:formatCode>
                <c:ptCount val="1"/>
              </c:numCache>
            </c:numRef>
          </c:xVal>
          <c:yVal>
            <c:numRef>
              <c:f>Arkusz1!$L$30</c:f>
              <c:numCache>
                <c:formatCode>0.00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F2A-4DF9-B449-0B3D0EEFE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700032"/>
        <c:axId val="2107026192"/>
      </c:scatterChart>
      <c:valAx>
        <c:axId val="210270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3175">
              <a:solidFill>
                <a:schemeClr val="tx1">
                  <a:tint val="50000"/>
                  <a:alpha val="20000"/>
                </a:schemeClr>
              </a:solidFill>
            </a:ln>
          </c:spPr>
        </c:minorGridlines>
        <c:title>
          <c:tx>
            <c:strRef>
              <c:f>Arkusz1!$O$25</c:f>
              <c:strCache>
                <c:ptCount val="1"/>
                <c:pt idx="0">
                  <c:v>Temperatura [^C)</c:v>
                </c:pt>
              </c:strCache>
            </c:strRef>
          </c:tx>
          <c:overlay val="0"/>
          <c:txPr>
            <a:bodyPr/>
            <a:lstStyle/>
            <a:p>
              <a:pPr>
                <a:defRPr sz="1100"/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07026192"/>
        <c:crosses val="autoZero"/>
        <c:crossBetween val="midCat"/>
      </c:valAx>
      <c:valAx>
        <c:axId val="210702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3175">
              <a:solidFill>
                <a:schemeClr val="tx1">
                  <a:tint val="50000"/>
                  <a:alpha val="20000"/>
                </a:schemeClr>
              </a:solidFill>
            </a:ln>
          </c:spPr>
        </c:minorGridlines>
        <c:title>
          <c:tx>
            <c:strRef>
              <c:f>Arkusz1!$O$24</c:f>
              <c:strCache>
                <c:ptCount val="1"/>
                <c:pt idx="0">
                  <c:v>Entalpia właściwa [kJ/kg]</c:v>
                </c:pt>
              </c:strCache>
            </c:strRef>
          </c:tx>
          <c:layout>
            <c:manualLayout>
              <c:xMode val="edge"/>
              <c:yMode val="edge"/>
              <c:x val="7.95196200841531E-3"/>
              <c:y val="0.36267217129475787"/>
            </c:manualLayout>
          </c:layout>
          <c:overlay val="0"/>
          <c:txPr>
            <a:bodyPr/>
            <a:lstStyle/>
            <a:p>
              <a:pPr>
                <a:defRPr sz="1100"/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0270003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18</xdr:col>
      <xdr:colOff>295275</xdr:colOff>
      <xdr:row>0</xdr:row>
      <xdr:rowOff>5162550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76250" y="0"/>
          <a:ext cx="8096250" cy="5162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2000" b="1"/>
            <a:t>Regresja graficzna wykresów - dla skali innej niż logarytmiczna</a:t>
          </a:r>
        </a:p>
        <a:p>
          <a:endParaRPr lang="pl-PL" sz="800" b="1"/>
        </a:p>
        <a:p>
          <a:r>
            <a:rPr lang="pl-PL" sz="1100" b="0" i="1"/>
            <a:t>Program pozwala na przekształcenie</a:t>
          </a:r>
          <a:r>
            <a:rPr lang="pl-PL" sz="1100" b="0" i="1" baseline="0"/>
            <a:t> wykresu formie graficznej na wersję edytowalną w 'Excelu'. Na podstawie punktów wyznaczonych na stronie GraphReaderv2 i pobranych wartości punktów oraz kodu JSON program wyznacza wykres dla tych punktów, bedący ich regresją (metodą najmniejszych kwadratów). Program pozwala na oznaczenie wybranego punktu na wykresie wraz z etykietą, co w łatwy sposób umożliwia graficzne przedstawienie i odczyt danych (z starych nomogramów, grafik o niskiej rozdzielczości...).</a:t>
          </a:r>
          <a:endParaRPr lang="pl-PL" sz="1100" b="0" i="1"/>
        </a:p>
        <a:p>
          <a:endParaRPr lang="pl-PL" sz="800" b="1"/>
        </a:p>
        <a:p>
          <a:r>
            <a:rPr lang="pl-PL" sz="1100" b="1"/>
            <a:t>Okno Dialogowe</a:t>
          </a:r>
        </a:p>
        <a:p>
          <a:r>
            <a:rPr lang="pl-PL" sz="1100"/>
            <a:t>1.</a:t>
          </a:r>
          <a:r>
            <a:rPr lang="pl-PL" sz="1100" baseline="0"/>
            <a:t> Po kliknięciu w przycisk 'Rozpocznij' pojawi się okno </a:t>
          </a:r>
          <a:r>
            <a:rPr lang="pl-PL" sz="1100" i="1" baseline="0"/>
            <a:t>'Graphreaderv2'</a:t>
          </a:r>
          <a:r>
            <a:rPr lang="pl-PL" sz="1100" baseline="0"/>
            <a:t>. </a:t>
          </a:r>
          <a:br>
            <a:rPr lang="pl-PL" sz="1100"/>
          </a:br>
          <a:r>
            <a:rPr lang="pl-PL" sz="1100"/>
            <a:t>2. Za pomocą odpowiedniego przycisku włącz</a:t>
          </a:r>
          <a:r>
            <a:rPr lang="pl-PL" sz="1100" baseline="0"/>
            <a:t> stronę </a:t>
          </a:r>
          <a:r>
            <a:rPr lang="pl-PL" sz="1100" i="1" u="sng"/>
            <a:t>http://www.graphreader.com/v2</a:t>
          </a:r>
          <a:r>
            <a:rPr lang="pl-PL" sz="1100"/>
            <a:t>, załaduj wybrany wykres liniowy za pomocą pola </a:t>
          </a:r>
          <a:r>
            <a:rPr lang="pl-PL" sz="1100" i="1"/>
            <a:t>'Browse…' </a:t>
          </a:r>
          <a:r>
            <a:rPr lang="pl-PL" sz="1100"/>
            <a:t>lub używając skrótu klawiszowego </a:t>
          </a:r>
          <a:r>
            <a:rPr lang="pl-PL" sz="1100" i="1"/>
            <a:t>ctrl + c.</a:t>
          </a:r>
          <a:br>
            <a:rPr lang="pl-PL" sz="1100" i="1"/>
          </a:br>
          <a:r>
            <a:rPr lang="pl-PL" sz="1100"/>
            <a:t>	</a:t>
          </a:r>
          <a:br>
            <a:rPr lang="pl-PL" sz="1100"/>
          </a:br>
          <a:r>
            <a:rPr lang="pl-PL" sz="1100" b="1"/>
            <a:t>Obsługa Strony GraphReaderv2</a:t>
          </a:r>
          <a:br>
            <a:rPr lang="pl-PL" sz="1100" b="1"/>
          </a:br>
          <a:r>
            <a:rPr lang="pl-PL" sz="1100" b="0"/>
            <a:t>3. Dopasuj punktory obszaru roboczego do obszaru wykresu.</a:t>
          </a:r>
        </a:p>
        <a:p>
          <a:r>
            <a:rPr lang="pl-PL" sz="1100" b="0"/>
            <a:t>4. Wypełnij pola dt. skalowania osi </a:t>
          </a:r>
          <a:r>
            <a:rPr lang="pl-PL" sz="1100" b="0" i="1"/>
            <a:t>'y-high',</a:t>
          </a:r>
          <a:r>
            <a:rPr lang="pl-PL" sz="1100" b="0"/>
            <a:t> '</a:t>
          </a:r>
          <a:r>
            <a:rPr lang="pl-PL" sz="1100" b="0" i="1"/>
            <a:t>y-low</a:t>
          </a:r>
          <a:r>
            <a:rPr lang="pl-PL" sz="1100" b="0"/>
            <a:t>', '</a:t>
          </a:r>
          <a:r>
            <a:rPr lang="pl-PL" sz="1100" b="0" i="1"/>
            <a:t>x-high</a:t>
          </a:r>
          <a:r>
            <a:rPr lang="pl-PL" sz="1100" b="0"/>
            <a:t>', </a:t>
          </a:r>
          <a:r>
            <a:rPr lang="pl-PL" sz="1100" b="0" i="1"/>
            <a:t>'x-low'</a:t>
          </a:r>
          <a:r>
            <a:rPr lang="pl-PL" sz="1100" b="0"/>
            <a:t> na podstawie wartości odczytanych z zamieszczonego wykresu.</a:t>
          </a:r>
        </a:p>
        <a:p>
          <a:r>
            <a:rPr lang="pl-PL" sz="1100" b="0"/>
            <a:t>5. W oknie </a:t>
          </a:r>
          <a:r>
            <a:rPr lang="pl-PL" sz="1100" b="0" i="1"/>
            <a:t>'Sampling intervals (x-axis</a:t>
          </a:r>
          <a:r>
            <a:rPr lang="pl-PL" sz="1100" b="0"/>
            <a:t>)'  ustaw odległość między osiami głównymi na osi X wykresu.</a:t>
          </a:r>
        </a:p>
        <a:p>
          <a:r>
            <a:rPr lang="pl-PL" sz="1100" b="0"/>
            <a:t>6. W oknie </a:t>
          </a:r>
          <a:r>
            <a:rPr lang="pl-PL" sz="1100" b="0" i="1"/>
            <a:t>'Sampling method</a:t>
          </a:r>
          <a:r>
            <a:rPr lang="pl-PL" sz="1100" b="0"/>
            <a:t>' wybierz opcję </a:t>
          </a:r>
          <a:r>
            <a:rPr lang="pl-PL" sz="1100" b="0" i="1"/>
            <a:t>'Point interpolation</a:t>
          </a:r>
          <a:r>
            <a:rPr lang="pl-PL" sz="1100" b="0"/>
            <a:t>' i model liniowy '</a:t>
          </a:r>
          <a:r>
            <a:rPr lang="pl-PL" sz="1100" b="0" i="1"/>
            <a:t>Linear</a:t>
          </a:r>
          <a:r>
            <a:rPr lang="pl-PL" sz="1100" b="0"/>
            <a:t>'. </a:t>
          </a:r>
        </a:p>
        <a:p>
          <a:r>
            <a:rPr lang="pl-PL" sz="1100" b="0"/>
            <a:t>7. Nad wykresem zaznacz opcję 'Freeform 2D'. Zaznacz punkty wzdłuż osi, jaka ma zostać wyplotowana.</a:t>
          </a:r>
        </a:p>
        <a:p>
          <a:r>
            <a:rPr lang="pl-PL" sz="1100" b="0"/>
            <a:t>8. Najedź myszką na 'kluczowe' punkty przecięcia osi na wykresie i upewnij się, że odczytane znad lewego, górnego rogu tabeli </a:t>
          </a:r>
          <a:r>
            <a:rPr lang="pl-PL" sz="1100" b="0" i="1"/>
            <a:t>'Mouse: x=(...) </a:t>
          </a:r>
          <a:r>
            <a:rPr lang="pl-PL" sz="1100" i="1"/>
            <a:t>y=(...)' </a:t>
          </a:r>
          <a:r>
            <a:rPr lang="pl-PL" sz="1100"/>
            <a:t>pokrywają się z wartościami na wykresie.</a:t>
          </a:r>
        </a:p>
        <a:p>
          <a:r>
            <a:rPr lang="pl-PL" sz="1100"/>
            <a:t>9. W celu wygenerowania koordynatów naciśnij przycisk </a:t>
          </a:r>
          <a:r>
            <a:rPr lang="pl-PL" sz="1100" i="1"/>
            <a:t>'Generate Curve</a:t>
          </a:r>
          <a:r>
            <a:rPr lang="pl-PL" sz="1100"/>
            <a:t>' pod lewym, dolnym rogiem wykresu.</a:t>
          </a:r>
          <a:br>
            <a:rPr lang="pl-PL" sz="1100"/>
          </a:br>
          <a:br>
            <a:rPr lang="pl-PL" sz="1100"/>
          </a:br>
          <a:r>
            <a:rPr lang="pl-PL" sz="1100" b="1"/>
            <a:t>Okno Dialogowe - Import danych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/>
            <a:t>10. Ze strony internetowej</a:t>
          </a:r>
          <a:r>
            <a:rPr lang="pl-PL" sz="1100" baseline="0"/>
            <a:t> s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kopiuj:</a:t>
          </a:r>
          <a:b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zawartość pola </a:t>
          </a:r>
          <a:r>
            <a:rPr lang="pl-PL" sz="1100" i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'Codes for quick saving and loading of the above settings</a:t>
          </a:r>
          <a:r>
            <a:rPr lang="pl-PL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 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wklej w odpowiednie</a:t>
          </a: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miejsce okna dialogowego</a:t>
          </a:r>
          <a:b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</a:t>
          </a:r>
          <a:r>
            <a:rPr lang="pl-PL" sz="1100" b="0" i="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wartości </a:t>
          </a:r>
          <a:r>
            <a:rPr lang="pl-PL" sz="1100" b="0" i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 i Y </a:t>
          </a:r>
          <a:r>
            <a:rPr lang="pl-PL" sz="1100" b="0" i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 lokalizacji </a:t>
          </a:r>
          <a:r>
            <a:rPr lang="pl-PL" sz="1100" b="0" i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'Data Output' -&gt; 'Inserted Fixpoints x|y' </a:t>
          </a: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odpowiednich pól w oknie dialogowym</a:t>
          </a:r>
          <a:endParaRPr lang="pl-PL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="0"/>
            <a:t>11. </a:t>
          </a:r>
          <a:r>
            <a:rPr lang="pl-PL" sz="1100"/>
            <a:t>Naciśnij przycisk </a:t>
          </a:r>
          <a:r>
            <a:rPr lang="pl-PL" sz="1100" i="1"/>
            <a:t>'Generuj Wykres'.</a:t>
          </a:r>
        </a:p>
      </xdr:txBody>
    </xdr:sp>
    <xdr:clientData/>
  </xdr:twoCellAnchor>
  <xdr:twoCellAnchor>
    <xdr:from>
      <xdr:col>18</xdr:col>
      <xdr:colOff>347945</xdr:colOff>
      <xdr:row>0</xdr:row>
      <xdr:rowOff>22410</xdr:rowOff>
    </xdr:from>
    <xdr:to>
      <xdr:col>42</xdr:col>
      <xdr:colOff>123266</xdr:colOff>
      <xdr:row>0</xdr:row>
      <xdr:rowOff>5165911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0</xdr:row>
          <xdr:rowOff>4543425</xdr:rowOff>
        </xdr:from>
        <xdr:to>
          <xdr:col>17</xdr:col>
          <xdr:colOff>104775</xdr:colOff>
          <xdr:row>0</xdr:row>
          <xdr:rowOff>5057775</xdr:rowOff>
        </xdr:to>
        <xdr:sp macro="" textlink="">
          <xdr:nvSpPr>
            <xdr:cNvPr id="1033" name="CommandButton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55470</xdr:colOff>
      <xdr:row>0</xdr:row>
      <xdr:rowOff>66726</xdr:rowOff>
    </xdr:from>
    <xdr:to>
      <xdr:col>12</xdr:col>
      <xdr:colOff>508100</xdr:colOff>
      <xdr:row>23</xdr:row>
      <xdr:rowOff>34636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70" y="66726"/>
          <a:ext cx="7726266" cy="434941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87611</xdr:colOff>
      <xdr:row>23</xdr:row>
      <xdr:rowOff>189793</xdr:rowOff>
    </xdr:from>
    <xdr:to>
      <xdr:col>12</xdr:col>
      <xdr:colOff>484908</xdr:colOff>
      <xdr:row>88</xdr:row>
      <xdr:rowOff>93210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11" y="4571293"/>
          <a:ext cx="7670933" cy="1228591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1:DR211"/>
  <sheetViews>
    <sheetView tabSelected="1" zoomScale="85" zoomScaleNormal="85" workbookViewId="0">
      <pane xSplit="128" ySplit="1" topLeftCell="DY2" activePane="bottomRight" state="frozen"/>
      <selection pane="topRight" activeCell="DY1" sqref="DY1"/>
      <selection pane="bottomLeft" activeCell="A2" sqref="A2"/>
      <selection pane="bottomRight"/>
    </sheetView>
  </sheetViews>
  <sheetFormatPr defaultRowHeight="15" x14ac:dyDescent="0.25"/>
  <cols>
    <col min="1" max="1" width="3.5703125" style="8" customWidth="1"/>
    <col min="2" max="2" width="3.5703125" style="5" customWidth="1"/>
    <col min="3" max="8" width="5" style="5" customWidth="1"/>
    <col min="9" max="9" width="26" style="5" customWidth="1"/>
    <col min="10" max="10" width="18" style="5" customWidth="1"/>
    <col min="11" max="11" width="5" style="5" customWidth="1"/>
    <col min="12" max="12" width="8" style="5" customWidth="1"/>
    <col min="13" max="15" width="5" style="5" customWidth="1"/>
    <col min="16" max="16" width="16.28515625" style="5" customWidth="1"/>
    <col min="17" max="17" width="5" style="5" customWidth="1"/>
    <col min="18" max="20" width="10.85546875" style="5" customWidth="1"/>
    <col min="21" max="21" width="10.85546875" style="4" customWidth="1"/>
    <col min="22" max="24" width="10.85546875" style="5" customWidth="1"/>
    <col min="25" max="122" width="4.85546875" style="5" customWidth="1"/>
    <col min="123" max="16384" width="9.140625" style="5"/>
  </cols>
  <sheetData>
    <row r="1" spans="1:122" ht="409.5" customHeight="1" x14ac:dyDescent="0.25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</row>
    <row r="2" spans="1:122" ht="409.5" customHeight="1" x14ac:dyDescent="0.3">
      <c r="A2" s="5"/>
      <c r="B2" s="2"/>
      <c r="C2" s="6"/>
      <c r="D2" s="7" t="s">
        <v>9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29"/>
      <c r="T2" s="4"/>
      <c r="U2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</row>
    <row r="3" spans="1:122" ht="16.5" customHeight="1" x14ac:dyDescent="0.25">
      <c r="G3" s="4"/>
      <c r="K3" s="9"/>
      <c r="L3" s="9"/>
      <c r="M3" s="9"/>
      <c r="N3" s="9"/>
      <c r="O3" s="9"/>
      <c r="P3" s="9"/>
      <c r="Q3" s="9"/>
      <c r="T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</row>
    <row r="4" spans="1:122" ht="409.5" customHeight="1" x14ac:dyDescent="0.25">
      <c r="I4" s="10"/>
      <c r="K4" s="9"/>
      <c r="L4" s="9"/>
      <c r="M4" s="9"/>
      <c r="N4" s="9"/>
      <c r="O4" s="9"/>
      <c r="P4" s="9"/>
      <c r="Q4" s="9"/>
      <c r="T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</row>
    <row r="5" spans="1:122" ht="409.5" customHeight="1" x14ac:dyDescent="0.25">
      <c r="A5" s="5" t="s">
        <v>9</v>
      </c>
      <c r="B5" s="11" t="s">
        <v>10</v>
      </c>
      <c r="C5" s="12"/>
      <c r="D5" s="12"/>
      <c r="I5" s="4"/>
      <c r="K5" s="9"/>
      <c r="L5" s="9"/>
      <c r="M5" s="9"/>
      <c r="N5" s="9"/>
      <c r="O5" s="9"/>
      <c r="P5" s="9"/>
      <c r="Q5" s="9"/>
      <c r="T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</row>
    <row r="6" spans="1:122" ht="409.5" customHeight="1" x14ac:dyDescent="0.3">
      <c r="A6" s="13">
        <f t="shared" ref="A6:A28" si="0">IF(OR($I$27&gt;=C6,$I$27&lt;=C7),1,0)</f>
        <v>1</v>
      </c>
      <c r="B6" s="5">
        <f t="shared" ref="B6:B28" si="1">IF(AND(C6&lt;=$I$27,$I$27&lt;=C7),1,0)</f>
        <v>0</v>
      </c>
      <c r="C6" s="14">
        <v>6.9123999999999999</v>
      </c>
      <c r="D6" s="14">
        <v>0</v>
      </c>
      <c r="E6" s="15" cm="1">
        <f t="array" ref="E6:F6">LINEST(D6:D7,C6:C7)</f>
        <v>0.26243358250442783</v>
      </c>
      <c r="F6" s="15">
        <v>-1.8140458957036074</v>
      </c>
      <c r="G6" s="15">
        <f>E6*$I$27+$F6</f>
        <v>-2625.8874373574777</v>
      </c>
      <c r="H6" s="16">
        <f>$I$27*E6+F6</f>
        <v>-2625.8874373574777</v>
      </c>
      <c r="K6" s="9"/>
      <c r="L6" s="9"/>
      <c r="M6" s="9"/>
      <c r="N6" s="9"/>
      <c r="O6" s="9"/>
      <c r="P6" s="9"/>
      <c r="Q6" s="9"/>
      <c r="T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</row>
    <row r="7" spans="1:122" ht="409.5" customHeight="1" x14ac:dyDescent="0.3">
      <c r="A7" s="13">
        <f t="shared" si="0"/>
        <v>1</v>
      </c>
      <c r="B7" s="5">
        <f t="shared" si="1"/>
        <v>0</v>
      </c>
      <c r="C7" s="17">
        <v>152.0737</v>
      </c>
      <c r="D7" s="17">
        <v>38.095199999999998</v>
      </c>
      <c r="E7" s="15" cm="1">
        <f t="array" ref="E7:F7">LINEST(D7:D8,C7:C8)</f>
        <v>0.22634972140827161</v>
      </c>
      <c r="F7" s="15">
        <v>3.6733603714749279</v>
      </c>
      <c r="G7" s="15">
        <f t="shared" ref="G7:G70" si="2">E7*$I$27+$F7</f>
        <v>-2259.5975039898331</v>
      </c>
      <c r="H7" s="16">
        <f t="shared" ref="H7:H70" si="3">$I$27*E7+F7</f>
        <v>-2259.5975039898331</v>
      </c>
      <c r="K7" s="9"/>
      <c r="L7" s="9"/>
      <c r="M7" s="9"/>
      <c r="N7" s="9"/>
      <c r="O7" s="9"/>
      <c r="P7" s="9"/>
      <c r="Q7" s="9"/>
      <c r="T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</row>
    <row r="8" spans="1:122" ht="409.5" customHeight="1" x14ac:dyDescent="0.3">
      <c r="A8" s="13">
        <f t="shared" si="0"/>
        <v>1</v>
      </c>
      <c r="B8" s="5">
        <f t="shared" si="1"/>
        <v>0</v>
      </c>
      <c r="C8" s="17">
        <v>290.32260000000002</v>
      </c>
      <c r="D8" s="17">
        <v>69.387799999999999</v>
      </c>
      <c r="E8" s="15" cm="1">
        <f t="array" ref="E8:F8">LINEST(D8:D9,C8:C9)</f>
        <v>0.2361904045460069</v>
      </c>
      <c r="F8" s="15">
        <v>0.81638765715145212</v>
      </c>
      <c r="G8" s="15">
        <f t="shared" si="2"/>
        <v>-2360.8514673983714</v>
      </c>
      <c r="H8" s="16">
        <f t="shared" si="3"/>
        <v>-2360.8514673983714</v>
      </c>
      <c r="K8" s="9"/>
      <c r="L8" s="9"/>
      <c r="M8" s="9"/>
      <c r="N8" s="9"/>
      <c r="O8" s="9"/>
      <c r="P8" s="9"/>
      <c r="Q8" s="9"/>
      <c r="T8" s="4"/>
      <c r="V8" s="18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</row>
    <row r="9" spans="1:122" ht="409.5" customHeight="1" x14ac:dyDescent="0.3">
      <c r="A9" s="13">
        <f t="shared" si="0"/>
        <v>1</v>
      </c>
      <c r="B9" s="5">
        <f t="shared" si="1"/>
        <v>0</v>
      </c>
      <c r="C9" s="17">
        <v>463.1336</v>
      </c>
      <c r="D9" s="17">
        <v>110.2041</v>
      </c>
      <c r="E9" s="15" cm="1">
        <f t="array" ref="E9:F9">LINEST(D9:D10,C9:C10)</f>
        <v>0.22664751221556562</v>
      </c>
      <c r="F9" s="15">
        <v>5.2360217365611277</v>
      </c>
      <c r="G9" s="15">
        <f t="shared" si="2"/>
        <v>-2261.0124529068794</v>
      </c>
      <c r="H9" s="16">
        <f t="shared" si="3"/>
        <v>-2261.0124529068794</v>
      </c>
      <c r="K9" s="9"/>
      <c r="L9" s="9"/>
      <c r="M9" s="9"/>
      <c r="N9" s="9"/>
      <c r="O9" s="9"/>
      <c r="P9" s="9"/>
      <c r="Q9" s="9"/>
      <c r="T9" s="4"/>
      <c r="V9" s="18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</row>
    <row r="10" spans="1:122" ht="409.5" customHeight="1" x14ac:dyDescent="0.3">
      <c r="A10" s="13">
        <f t="shared" si="0"/>
        <v>1</v>
      </c>
      <c r="B10" s="5">
        <f t="shared" si="1"/>
        <v>0</v>
      </c>
      <c r="C10" s="17">
        <v>691.24419999999998</v>
      </c>
      <c r="D10" s="17">
        <v>161.90479999999999</v>
      </c>
      <c r="E10" s="15" cm="1">
        <f t="array" ref="E10:F10">LINEST(D10:D11,C10:C11)</f>
        <v>0.22790284037675762</v>
      </c>
      <c r="F10" s="15">
        <v>4.3682834260404775</v>
      </c>
      <c r="G10" s="15">
        <f t="shared" si="2"/>
        <v>-2274.4322175011594</v>
      </c>
      <c r="H10" s="16">
        <f t="shared" si="3"/>
        <v>-2274.4322175011594</v>
      </c>
      <c r="K10" s="9"/>
      <c r="L10" s="9"/>
      <c r="M10" s="9"/>
      <c r="N10" s="9"/>
      <c r="O10" s="9"/>
      <c r="P10" s="9"/>
      <c r="Q10" s="9"/>
      <c r="T10" s="4"/>
      <c r="V10" s="4"/>
      <c r="W10" s="18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</row>
    <row r="11" spans="1:122" ht="409.5" customHeight="1" x14ac:dyDescent="0.3">
      <c r="A11" s="13">
        <f t="shared" si="0"/>
        <v>1</v>
      </c>
      <c r="B11" s="5">
        <f t="shared" si="1"/>
        <v>0</v>
      </c>
      <c r="C11" s="17">
        <v>953.9171</v>
      </c>
      <c r="D11" s="17">
        <v>221.7687</v>
      </c>
      <c r="E11" s="15" cm="1">
        <f t="array" ref="E11:F11">LINEST(D11:D12,C11:C12)</f>
        <v>0.22388147179857887</v>
      </c>
      <c r="F11" s="15">
        <v>8.2043356781678938</v>
      </c>
      <c r="G11" s="15">
        <f t="shared" si="2"/>
        <v>-2230.3865008358225</v>
      </c>
      <c r="H11" s="16">
        <f t="shared" si="3"/>
        <v>-2230.3865008358225</v>
      </c>
      <c r="T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</row>
    <row r="12" spans="1:122" ht="409.5" customHeight="1" x14ac:dyDescent="0.3">
      <c r="A12" s="13">
        <f t="shared" si="0"/>
        <v>1</v>
      </c>
      <c r="B12" s="5">
        <f t="shared" si="1"/>
        <v>0</v>
      </c>
      <c r="C12" s="17">
        <v>1122.8288</v>
      </c>
      <c r="D12" s="17">
        <v>259.5849</v>
      </c>
      <c r="E12" s="15" cm="1">
        <f t="array" ref="E12:F12">LINEST(D12:D13,C12:C13)</f>
        <v>0.18477431715979473</v>
      </c>
      <c r="F12" s="15">
        <v>52.114975192648245</v>
      </c>
      <c r="G12" s="15">
        <f t="shared" si="2"/>
        <v>-1795.4434220881392</v>
      </c>
      <c r="H12" s="16">
        <f t="shared" si="3"/>
        <v>-1795.4434220881392</v>
      </c>
      <c r="T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</row>
    <row r="13" spans="1:122" ht="409.5" customHeight="1" x14ac:dyDescent="0.3">
      <c r="A13" s="13">
        <f t="shared" si="0"/>
        <v>1</v>
      </c>
      <c r="B13" s="5">
        <f t="shared" si="1"/>
        <v>0</v>
      </c>
      <c r="C13" s="17">
        <v>1296.5261</v>
      </c>
      <c r="D13" s="17">
        <v>291.67970000000003</v>
      </c>
      <c r="E13" s="15">
        <f t="array" ref="E13:F13">LINEST(D13:D14,C13:C14)</f>
        <v>0.16751106642858218</v>
      </c>
      <c r="F13" s="15">
        <v>74.497230336509404</v>
      </c>
      <c r="G13" s="15">
        <f t="shared" si="2"/>
        <v>-1600.4459228828839</v>
      </c>
      <c r="H13" s="16">
        <f t="shared" si="3"/>
        <v>-1600.4459228828839</v>
      </c>
      <c r="T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</row>
    <row r="14" spans="1:122" ht="409.5" customHeight="1" x14ac:dyDescent="0.3">
      <c r="A14" s="13">
        <f t="shared" si="0"/>
        <v>1</v>
      </c>
      <c r="B14" s="5">
        <f t="shared" si="1"/>
        <v>0</v>
      </c>
      <c r="C14" s="17">
        <v>1463.1335999999999</v>
      </c>
      <c r="D14" s="17">
        <v>319.5883</v>
      </c>
      <c r="E14" s="15">
        <f t="array" ref="E14:F14">LINEST(D14:D15,C14:C15)</f>
        <v>0.15171978078488393</v>
      </c>
      <c r="F14" s="15">
        <v>97.60199094900193</v>
      </c>
      <c r="G14" s="15">
        <f t="shared" si="2"/>
        <v>-1419.4440971190525</v>
      </c>
      <c r="H14" s="16">
        <f t="shared" si="3"/>
        <v>-1419.4440971190525</v>
      </c>
      <c r="T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</row>
    <row r="15" spans="1:122" ht="5.25" customHeight="1" x14ac:dyDescent="0.3">
      <c r="A15" s="13">
        <f t="shared" si="0"/>
        <v>1</v>
      </c>
      <c r="B15" s="5">
        <f t="shared" si="1"/>
        <v>0</v>
      </c>
      <c r="C15" s="17">
        <v>1633.2861</v>
      </c>
      <c r="D15" s="17">
        <v>345.40379999999999</v>
      </c>
      <c r="E15" s="15">
        <f t="array" ref="E15:F15">LINEST(D15:D16,C15:C16)</f>
        <v>0.10269178665629859</v>
      </c>
      <c r="F15" s="15">
        <v>177.67873227010199</v>
      </c>
      <c r="G15" s="15">
        <f t="shared" si="2"/>
        <v>-849.13644250622747</v>
      </c>
      <c r="H15" s="16">
        <f t="shared" si="3"/>
        <v>-849.13644250622747</v>
      </c>
      <c r="T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</row>
    <row r="16" spans="1:122" ht="5.25" customHeight="1" x14ac:dyDescent="0.3">
      <c r="A16" s="13">
        <f t="shared" si="0"/>
        <v>1</v>
      </c>
      <c r="B16" s="5">
        <f t="shared" si="1"/>
        <v>0</v>
      </c>
      <c r="C16" s="17">
        <v>1796.3488</v>
      </c>
      <c r="D16" s="17">
        <v>362.149</v>
      </c>
      <c r="E16" s="15">
        <f t="array" ref="E16:F16">LINEST(D16:D17,C16:C17)</f>
        <v>7.4474379227686419E-2</v>
      </c>
      <c r="F16" s="15">
        <v>228.3670382436006</v>
      </c>
      <c r="G16" s="15">
        <f t="shared" si="2"/>
        <v>-516.30227965403583</v>
      </c>
      <c r="H16" s="16">
        <f t="shared" si="3"/>
        <v>-516.30227965403583</v>
      </c>
      <c r="T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</row>
    <row r="17" spans="1:122" ht="5.25" customHeight="1" x14ac:dyDescent="0.3">
      <c r="A17" s="13">
        <f t="shared" si="0"/>
        <v>1</v>
      </c>
      <c r="B17" s="5">
        <f t="shared" si="1"/>
        <v>0</v>
      </c>
      <c r="C17" s="17">
        <v>1927.508</v>
      </c>
      <c r="D17" s="17">
        <v>371.91699999999997</v>
      </c>
      <c r="E17" s="15">
        <f t="array" ref="E17:F17">LINEST(D17:D18,C17:C18)</f>
        <v>1.8308948081785691E-2</v>
      </c>
      <c r="F17" s="15">
        <v>336.62635610077342</v>
      </c>
      <c r="G17" s="15">
        <f t="shared" si="2"/>
        <v>153.55518423099829</v>
      </c>
      <c r="H17" s="16">
        <f>$I$27*E17+F17</f>
        <v>153.55518423099829</v>
      </c>
      <c r="T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</row>
    <row r="18" spans="1:122" ht="5.25" customHeight="1" x14ac:dyDescent="0.3">
      <c r="A18" s="13">
        <f t="shared" si="0"/>
        <v>1</v>
      </c>
      <c r="B18" s="5">
        <f t="shared" si="1"/>
        <v>0</v>
      </c>
      <c r="C18" s="17">
        <v>2079.9362000000001</v>
      </c>
      <c r="D18" s="17">
        <v>374.70780000000002</v>
      </c>
      <c r="E18" s="15">
        <f t="array" ref="E18:F18">LINEST(D18:D19,C18:C19)</f>
        <v>0</v>
      </c>
      <c r="F18" s="15">
        <v>374.70780000000002</v>
      </c>
      <c r="G18" s="15">
        <f t="shared" si="2"/>
        <v>374.70780000000002</v>
      </c>
      <c r="H18" s="16">
        <f t="shared" si="3"/>
        <v>374.70780000000002</v>
      </c>
      <c r="T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</row>
    <row r="19" spans="1:122" ht="5.25" customHeight="1" x14ac:dyDescent="0.3">
      <c r="A19" s="13">
        <f t="shared" si="0"/>
        <v>1</v>
      </c>
      <c r="B19" s="5">
        <f t="shared" si="1"/>
        <v>0</v>
      </c>
      <c r="C19" s="17">
        <v>2289.0819000000001</v>
      </c>
      <c r="D19" s="17">
        <v>374.70780000000002</v>
      </c>
      <c r="E19" s="15">
        <f t="array" ref="E19:F19">LINEST(D19:D20,C19:C20)</f>
        <v>-4.8005862176918129E-2</v>
      </c>
      <c r="F19" s="15">
        <v>484.59715020307789</v>
      </c>
      <c r="G19" s="15">
        <f t="shared" si="2"/>
        <v>964.60776611008225</v>
      </c>
      <c r="H19" s="16">
        <f>$I$27*E19+F19</f>
        <v>964.60776611008225</v>
      </c>
      <c r="T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</row>
    <row r="20" spans="1:122" ht="5.25" customHeight="1" x14ac:dyDescent="0.3">
      <c r="A20" s="13">
        <f t="shared" si="0"/>
        <v>1</v>
      </c>
      <c r="B20" s="5">
        <f t="shared" si="1"/>
        <v>0</v>
      </c>
      <c r="C20" s="17">
        <v>2434.4204</v>
      </c>
      <c r="D20" s="17">
        <v>367.73070000000001</v>
      </c>
      <c r="E20" s="15">
        <f t="array" ref="E20:F20">LINEST(D20:D21,C20:C21)</f>
        <v>-9.5601255747786454E-2</v>
      </c>
      <c r="F20" s="15">
        <v>600.46434725802862</v>
      </c>
      <c r="G20" s="15">
        <f t="shared" si="2"/>
        <v>1556.3813034801453</v>
      </c>
      <c r="H20" s="16">
        <f t="shared" si="3"/>
        <v>1556.3813034801453</v>
      </c>
      <c r="T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</row>
    <row r="21" spans="1:122" ht="5.25" customHeight="1" x14ac:dyDescent="0.3">
      <c r="A21" s="13">
        <f t="shared" si="0"/>
        <v>1</v>
      </c>
      <c r="B21" s="5">
        <f t="shared" si="1"/>
        <v>0</v>
      </c>
      <c r="C21" s="17">
        <v>2558.4899</v>
      </c>
      <c r="D21" s="17">
        <v>355.86950000000002</v>
      </c>
      <c r="E21" s="15">
        <f t="array" ref="E21:F21">LINEST(D21:D22,C21:C22)</f>
        <v>-0.16533308658998896</v>
      </c>
      <c r="F21" s="15">
        <v>778.87253217631223</v>
      </c>
      <c r="G21" s="15">
        <f t="shared" si="2"/>
        <v>2432.0380649896119</v>
      </c>
      <c r="H21" s="16">
        <f t="shared" si="3"/>
        <v>2432.0380649896119</v>
      </c>
      <c r="T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</row>
    <row r="22" spans="1:122" ht="31.5" customHeight="1" x14ac:dyDescent="0.3">
      <c r="A22" s="13">
        <f t="shared" si="0"/>
        <v>1</v>
      </c>
      <c r="B22" s="5">
        <f t="shared" si="1"/>
        <v>0</v>
      </c>
      <c r="C22" s="17">
        <v>2647.1109999999999</v>
      </c>
      <c r="D22" s="17">
        <v>341.21749999999997</v>
      </c>
      <c r="E22" s="15">
        <f t="array" ref="E22:F22">LINEST(D22:D23,C22:C23)</f>
        <v>-0.29523768104358178</v>
      </c>
      <c r="F22" s="15">
        <v>1122.7444131049565</v>
      </c>
      <c r="G22" s="15">
        <f t="shared" si="2"/>
        <v>4074.8259858597307</v>
      </c>
      <c r="H22" s="16">
        <f t="shared" si="3"/>
        <v>4074.8259858597307</v>
      </c>
      <c r="T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</row>
    <row r="23" spans="1:122" ht="31.5" customHeight="1" x14ac:dyDescent="0.3">
      <c r="A23" s="13">
        <f t="shared" si="0"/>
        <v>1</v>
      </c>
      <c r="B23" s="5">
        <f t="shared" si="1"/>
        <v>0</v>
      </c>
      <c r="C23" s="17">
        <v>2732.1871999999998</v>
      </c>
      <c r="D23" s="17">
        <v>316.09980000000002</v>
      </c>
      <c r="E23" s="15">
        <f t="array" ref="E23:F23">LINEST(D23:D24,C23:C24)</f>
        <v>-0.46522470584614356</v>
      </c>
      <c r="F23" s="15">
        <v>1587.1807864365983</v>
      </c>
      <c r="G23" s="15">
        <f t="shared" si="2"/>
        <v>6238.9626201921874</v>
      </c>
      <c r="H23" s="16">
        <f t="shared" si="3"/>
        <v>6238.9626201921874</v>
      </c>
      <c r="O23" s="5" t="s">
        <v>16</v>
      </c>
      <c r="T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</row>
    <row r="24" spans="1:122" ht="31.5" customHeight="1" x14ac:dyDescent="0.3">
      <c r="A24" s="13">
        <f t="shared" si="0"/>
        <v>1</v>
      </c>
      <c r="B24" s="5">
        <f t="shared" si="1"/>
        <v>0</v>
      </c>
      <c r="C24" s="17">
        <v>2771.1804000000002</v>
      </c>
      <c r="D24" s="17">
        <v>297.95920000000001</v>
      </c>
      <c r="E24" s="15">
        <f t="array" ref="E24:F24">LINEST(D24:D25,C24:C25)</f>
        <v>-0.92861683870897804</v>
      </c>
      <c r="F24" s="15">
        <v>2871.3239825402816</v>
      </c>
      <c r="G24" s="15">
        <f t="shared" si="2"/>
        <v>12156.563752791353</v>
      </c>
      <c r="H24" s="16">
        <f t="shared" si="3"/>
        <v>12156.563752791353</v>
      </c>
      <c r="O24" s="5" t="s">
        <v>17</v>
      </c>
      <c r="T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</row>
    <row r="25" spans="1:122" ht="31.5" customHeight="1" x14ac:dyDescent="0.3">
      <c r="A25" s="13">
        <f t="shared" si="0"/>
        <v>1</v>
      </c>
      <c r="B25" s="5">
        <f t="shared" si="1"/>
        <v>0</v>
      </c>
      <c r="C25" s="17">
        <v>2798.3926999999999</v>
      </c>
      <c r="D25" s="17">
        <v>272.68939999999998</v>
      </c>
      <c r="E25" s="15">
        <f t="array" ref="E25:F25">LINEST(D25:D26,C25:C26)</f>
        <v>-1.7666700228396444</v>
      </c>
      <c r="F25" s="15">
        <v>5216.5258952232934</v>
      </c>
      <c r="G25" s="15">
        <f t="shared" si="2"/>
        <v>22881.459453596897</v>
      </c>
      <c r="H25" s="16">
        <f t="shared" si="3"/>
        <v>22881.459453596897</v>
      </c>
      <c r="O25" s="5" t="s">
        <v>18</v>
      </c>
      <c r="P25" s="16"/>
      <c r="T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</row>
    <row r="26" spans="1:122" ht="31.5" customHeight="1" x14ac:dyDescent="0.3">
      <c r="A26" s="13">
        <f t="shared" si="0"/>
        <v>1</v>
      </c>
      <c r="B26" s="5">
        <f t="shared" si="1"/>
        <v>0</v>
      </c>
      <c r="C26" s="17">
        <v>2817.2633999999998</v>
      </c>
      <c r="D26" s="17">
        <v>239.3511</v>
      </c>
      <c r="E26" s="15">
        <f t="array" ref="E26:F26">LINEST(D26:D27,C26:C27)</f>
        <v>2.0666600843477174</v>
      </c>
      <c r="F26" s="15">
        <v>-5582.9747158737373</v>
      </c>
      <c r="G26" s="15">
        <f t="shared" si="2"/>
        <v>-26247.508899266562</v>
      </c>
      <c r="H26" s="16">
        <f t="shared" si="3"/>
        <v>-26247.508899266562</v>
      </c>
      <c r="I26" s="19" t="s">
        <v>11</v>
      </c>
      <c r="J26" s="7" t="s">
        <v>12</v>
      </c>
      <c r="M26" s="4"/>
      <c r="O26" s="20" t="s">
        <v>2</v>
      </c>
      <c r="P26" s="21" t="e">
        <f>VLOOKUP("input_x_low",U2:W207,2,FALSE)</f>
        <v>#N/A</v>
      </c>
      <c r="Q26" s="21" t="str" cm="1">
        <f t="array" ref="Q26">setchartaxis("arkusz1","Wykres 1","Min","Category","Primary",P26)</f>
        <v>Category Primary Min: Auto</v>
      </c>
      <c r="R26" s="21"/>
      <c r="S26" s="21"/>
      <c r="T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</row>
    <row r="27" spans="1:122" ht="31.5" customHeight="1" x14ac:dyDescent="0.3">
      <c r="A27" s="13">
        <f t="shared" si="0"/>
        <v>1</v>
      </c>
      <c r="B27" s="5">
        <f t="shared" si="1"/>
        <v>0</v>
      </c>
      <c r="C27" s="17">
        <v>2803.0839999999998</v>
      </c>
      <c r="D27" s="17">
        <v>210.0471</v>
      </c>
      <c r="E27" s="15">
        <f t="array" ref="E27:F27">LINEST(D27:D28,C27:C28)</f>
        <v>1.5418026235366187</v>
      </c>
      <c r="F27" s="15">
        <v>-4111.7551651935182</v>
      </c>
      <c r="G27" s="15">
        <f t="shared" si="2"/>
        <v>-19528.239597936168</v>
      </c>
      <c r="H27" s="16">
        <f t="shared" si="3"/>
        <v>-19528.239597936168</v>
      </c>
      <c r="I27" s="17">
        <v>-9999</v>
      </c>
      <c r="J27" s="22"/>
      <c r="L27" s="4" t="str">
        <f>IF(M27="","",I27)</f>
        <v/>
      </c>
      <c r="M27" s="16" t="str">
        <f>IF(J27="","",J27)</f>
        <v/>
      </c>
      <c r="O27" s="20" t="s">
        <v>3</v>
      </c>
      <c r="P27" s="21" t="e">
        <f>VLOOKUP("input_x_high",U3:W208,2,FALSE)</f>
        <v>#N/A</v>
      </c>
      <c r="Q27" s="21" t="str" cm="1">
        <f t="array" ref="Q27">setchartaxis("arkusz1","Wykres 1","Max","Category","Primary",P27)</f>
        <v>Category Primary Max: Auto</v>
      </c>
      <c r="R27" s="21"/>
      <c r="S27" s="21"/>
      <c r="T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</row>
    <row r="28" spans="1:122" ht="35.25" customHeight="1" x14ac:dyDescent="0.3">
      <c r="A28" s="13">
        <f t="shared" si="0"/>
        <v>1</v>
      </c>
      <c r="B28" s="5">
        <f t="shared" si="1"/>
        <v>0</v>
      </c>
      <c r="C28" s="17">
        <v>2781.8150000000001</v>
      </c>
      <c r="D28" s="17">
        <v>177.25450000000001</v>
      </c>
      <c r="E28" s="15">
        <f t="array" ref="E28:F28">LINEST(D28:D29,C28:C29)</f>
        <v>1.1317439383894952</v>
      </c>
      <c r="F28" s="15">
        <v>-2971.0477639709734</v>
      </c>
      <c r="G28" s="15">
        <f t="shared" si="2"/>
        <v>-14287.355403927535</v>
      </c>
      <c r="H28" s="16">
        <f t="shared" si="3"/>
        <v>-14287.355403927535</v>
      </c>
      <c r="M28" s="16"/>
      <c r="O28" s="20" t="s">
        <v>4</v>
      </c>
      <c r="P28" s="21" t="e">
        <f>VLOOKUP("input_stepsize",U2:W207,2,FALSE)</f>
        <v>#N/A</v>
      </c>
      <c r="Q28" s="21" t="str" cm="1">
        <f t="array" ref="Q28">setchartaxis("arkusz1","Wykres 1","Major","Unit","Secondary",P28)</f>
        <v>Unit Secondary Major: Auto</v>
      </c>
      <c r="R28" s="21"/>
      <c r="S28" s="21"/>
      <c r="T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</row>
    <row r="29" spans="1:122" ht="35.25" customHeight="1" x14ac:dyDescent="0.3">
      <c r="A29" s="13">
        <f t="shared" ref="A29:A40" si="4">IF(OR($I$27&gt;=C29,$I$27&lt;=C30),1,0)</f>
        <v>1</v>
      </c>
      <c r="B29" s="5">
        <f t="shared" ref="B29:B70" si="5">IF(AND(C29&lt;=$I$27,$I$27&lt;=C30),1,0)</f>
        <v>0</v>
      </c>
      <c r="C29" s="17">
        <v>2753.4562000000001</v>
      </c>
      <c r="D29" s="17">
        <v>145.15960000000001</v>
      </c>
      <c r="E29" s="15">
        <f t="array" ref="E29:F29">LINEST(D29:D30,C29:C30)</f>
        <v>0.68888912397253232</v>
      </c>
      <c r="F29" s="15">
        <v>-1751.666429514738</v>
      </c>
      <c r="G29" s="15">
        <f t="shared" si="2"/>
        <v>-8639.8687801160886</v>
      </c>
      <c r="H29" s="16">
        <f t="shared" si="3"/>
        <v>-8639.8687801160886</v>
      </c>
      <c r="J29" s="12"/>
      <c r="K29" s="23"/>
      <c r="L29" s="23"/>
      <c r="O29" s="20"/>
      <c r="P29" s="21"/>
      <c r="Q29" s="21"/>
      <c r="R29" s="21"/>
      <c r="S29" s="21"/>
      <c r="T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</row>
    <row r="30" spans="1:122" ht="35.25" customHeight="1" x14ac:dyDescent="0.3">
      <c r="A30" s="13">
        <f t="shared" si="4"/>
        <v>1</v>
      </c>
      <c r="B30" s="5">
        <f t="shared" si="5"/>
        <v>0</v>
      </c>
      <c r="C30" s="17">
        <v>2725.0974999999999</v>
      </c>
      <c r="D30" s="17">
        <v>125.6236</v>
      </c>
      <c r="E30" s="15">
        <f t="array" ref="E30:F30">LINEST(D30:D31,C30:C31)</f>
        <v>0.53424088917905155</v>
      </c>
      <c r="F30" s="15">
        <v>-1330.2349114996102</v>
      </c>
      <c r="G30" s="15">
        <f t="shared" si="2"/>
        <v>-6672.1095624009467</v>
      </c>
      <c r="H30" s="16">
        <f t="shared" si="3"/>
        <v>-6672.1095624009467</v>
      </c>
      <c r="I30" s="17"/>
      <c r="J30" s="22"/>
      <c r="K30" s="17"/>
      <c r="L30" s="22"/>
      <c r="M30" s="4"/>
      <c r="O30" s="20" t="s">
        <v>0</v>
      </c>
      <c r="P30" s="21" t="e">
        <f>VLOOKUP("input_y_low",U2:W207,2,FALSE)</f>
        <v>#N/A</v>
      </c>
      <c r="Q30" s="21" t="str" cm="1">
        <f t="array" ref="Q30">setchartaxis("arkusz1","Wykres 1","Min","Value","Primary",P30)</f>
        <v>Value Primary Min: Auto</v>
      </c>
      <c r="R30" s="21"/>
      <c r="S30" s="21"/>
      <c r="T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</row>
    <row r="31" spans="1:122" ht="35.25" customHeight="1" x14ac:dyDescent="0.3">
      <c r="A31" s="13">
        <f t="shared" si="4"/>
        <v>1</v>
      </c>
      <c r="B31" s="5">
        <f t="shared" si="5"/>
        <v>0</v>
      </c>
      <c r="C31" s="17">
        <v>2675.4697000000001</v>
      </c>
      <c r="D31" s="17">
        <v>99.110399999999998</v>
      </c>
      <c r="E31" s="15">
        <f t="array" ref="E31:F31">LINEST(D31:D32,C31:C32)</f>
        <v>0.63265347244890702</v>
      </c>
      <c r="F31" s="15">
        <v>-1593.5347961368354</v>
      </c>
      <c r="G31" s="15">
        <f t="shared" si="2"/>
        <v>-7919.4368671534567</v>
      </c>
      <c r="H31" s="16">
        <f t="shared" si="3"/>
        <v>-7919.4368671534567</v>
      </c>
      <c r="I31" s="17"/>
      <c r="J31" s="22"/>
      <c r="M31" s="4"/>
      <c r="O31" s="20" t="s">
        <v>1</v>
      </c>
      <c r="P31" s="21" t="e">
        <f>VLOOKUP("input_y_high",U2:W207,2,FALSE)</f>
        <v>#N/A</v>
      </c>
      <c r="Q31" s="21" t="str" cm="1">
        <f t="array" ref="Q31">setchartaxis("arkusz1","Wykres 1","Max","Value","Primary",P31)</f>
        <v>Value Primary Max: Auto</v>
      </c>
      <c r="R31" s="21"/>
      <c r="S31" s="21"/>
      <c r="T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</row>
    <row r="32" spans="1:122" ht="35.25" customHeight="1" x14ac:dyDescent="0.3">
      <c r="A32" s="13">
        <f t="shared" si="4"/>
        <v>1</v>
      </c>
      <c r="B32" s="5">
        <f t="shared" si="5"/>
        <v>0</v>
      </c>
      <c r="C32" s="17">
        <v>2625.8418999999999</v>
      </c>
      <c r="D32" s="17">
        <v>67.713200000000001</v>
      </c>
      <c r="E32" s="15">
        <f t="array" ref="E32:F32">LINEST(D32:D33,C32:C33)</f>
        <v>0.67482943027900033</v>
      </c>
      <c r="F32" s="15">
        <v>-1704.2821933797279</v>
      </c>
      <c r="G32" s="15">
        <f t="shared" si="2"/>
        <v>-8451.9016667394517</v>
      </c>
      <c r="H32" s="16">
        <f t="shared" si="3"/>
        <v>-8451.9016667394517</v>
      </c>
      <c r="O32" s="20" t="s">
        <v>5</v>
      </c>
      <c r="P32" s="24" t="s">
        <v>8</v>
      </c>
      <c r="Q32" s="21" t="str" cm="1">
        <f t="array" ref="Q32">setchartaxis("arkusz1","Wykres 1","Major","Unit","Primary",P32)</f>
        <v>Unit Primary Major: Auto</v>
      </c>
      <c r="R32" s="21"/>
      <c r="S32" s="21"/>
      <c r="T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</row>
    <row r="33" spans="1:122" ht="35.25" customHeight="1" x14ac:dyDescent="0.3">
      <c r="A33" s="13">
        <f t="shared" si="4"/>
        <v>1</v>
      </c>
      <c r="B33" s="5">
        <f t="shared" si="5"/>
        <v>0</v>
      </c>
      <c r="C33" s="17">
        <v>2576.2141000000001</v>
      </c>
      <c r="D33" s="17">
        <v>34.222900000000003</v>
      </c>
      <c r="E33" s="15">
        <f t="array" ref="E33:F33">LINEST(D33:D34,C33:C34)</f>
        <v>0.53258670843960187</v>
      </c>
      <c r="F33" s="15">
        <v>-1337.8344877546915</v>
      </c>
      <c r="G33" s="15">
        <f t="shared" si="2"/>
        <v>-6663.1689854422702</v>
      </c>
      <c r="H33" s="16">
        <f t="shared" si="3"/>
        <v>-6663.1689854422702</v>
      </c>
      <c r="L33" s="2"/>
      <c r="M33" s="2"/>
      <c r="O33" s="25" t="s">
        <v>7</v>
      </c>
      <c r="P33" s="6">
        <v>50</v>
      </c>
      <c r="Q33" s="26" t="s">
        <v>6</v>
      </c>
      <c r="R33" s="26"/>
      <c r="S33" s="26"/>
      <c r="T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</row>
    <row r="34" spans="1:122" ht="35.25" customHeight="1" x14ac:dyDescent="0.3">
      <c r="A34" s="13">
        <f t="shared" si="4"/>
        <v>1</v>
      </c>
      <c r="B34" s="5">
        <f t="shared" si="5"/>
        <v>0</v>
      </c>
      <c r="C34" s="17">
        <v>2515.9517999999998</v>
      </c>
      <c r="D34" s="17">
        <v>2.1280000000000001</v>
      </c>
      <c r="E34" s="15" t="e">
        <f t="array" ref="E34:F34">LINEST(D34:D35,C34:C35)</f>
        <v>#VALUE!</v>
      </c>
      <c r="F34" s="15" t="e">
        <v>#VALUE!</v>
      </c>
      <c r="G34" s="15" t="e">
        <f t="shared" si="2"/>
        <v>#VALUE!</v>
      </c>
      <c r="H34" s="16" t="e">
        <f t="shared" si="3"/>
        <v>#VALUE!</v>
      </c>
      <c r="M34" s="2"/>
      <c r="O34" s="25"/>
      <c r="P34" s="27"/>
      <c r="Q34" s="26"/>
      <c r="R34" s="26"/>
      <c r="S34" s="26"/>
      <c r="T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</row>
    <row r="35" spans="1:122" ht="35.25" customHeight="1" x14ac:dyDescent="0.3">
      <c r="A35" s="13">
        <f t="shared" si="4"/>
        <v>1</v>
      </c>
      <c r="B35" s="5">
        <f t="shared" si="5"/>
        <v>0</v>
      </c>
      <c r="C35" s="17"/>
      <c r="D35" s="17"/>
      <c r="E35" s="15" t="e">
        <f t="array" ref="E35:F35">LINEST(D35:D36,C35:C36)</f>
        <v>#VALUE!</v>
      </c>
      <c r="F35" s="15" t="e">
        <v>#VALUE!</v>
      </c>
      <c r="G35" s="15" t="e">
        <f t="shared" si="2"/>
        <v>#VALUE!</v>
      </c>
      <c r="H35" s="16" t="e">
        <f t="shared" si="3"/>
        <v>#VALUE!</v>
      </c>
      <c r="I35" s="4"/>
      <c r="L35" s="2"/>
      <c r="M35" s="2"/>
      <c r="N35" s="2"/>
      <c r="O35" s="2"/>
      <c r="P35" s="2"/>
      <c r="Q35" s="2"/>
      <c r="R35" s="2"/>
      <c r="S35" s="4"/>
      <c r="T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</row>
    <row r="36" spans="1:122" ht="5.25" customHeight="1" x14ac:dyDescent="0.3">
      <c r="A36" s="13">
        <f t="shared" si="4"/>
        <v>1</v>
      </c>
      <c r="B36" s="5">
        <f t="shared" si="5"/>
        <v>0</v>
      </c>
      <c r="C36" s="17"/>
      <c r="D36" s="17"/>
      <c r="E36" s="15" t="e">
        <f t="array" ref="E36:F36">LINEST(D36:D37,C36:C37)</f>
        <v>#VALUE!</v>
      </c>
      <c r="F36" s="15" t="e">
        <v>#VALUE!</v>
      </c>
      <c r="G36" s="15" t="e">
        <f t="shared" si="2"/>
        <v>#VALUE!</v>
      </c>
      <c r="H36" s="16" t="e">
        <f t="shared" si="3"/>
        <v>#VALUE!</v>
      </c>
      <c r="I36" s="4"/>
      <c r="S36" s="4"/>
      <c r="T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</row>
    <row r="37" spans="1:122" ht="5.25" customHeight="1" x14ac:dyDescent="0.3">
      <c r="A37" s="13">
        <f t="shared" si="4"/>
        <v>1</v>
      </c>
      <c r="B37" s="5">
        <f t="shared" si="5"/>
        <v>0</v>
      </c>
      <c r="C37" s="17"/>
      <c r="D37" s="17"/>
      <c r="E37" s="15" t="e">
        <f t="array" ref="E37:F37">LINEST(D37:D38,C37:C38)</f>
        <v>#VALUE!</v>
      </c>
      <c r="F37" s="15" t="e">
        <v>#VALUE!</v>
      </c>
      <c r="G37" s="15" t="e">
        <f t="shared" si="2"/>
        <v>#VALUE!</v>
      </c>
      <c r="H37" s="16" t="e">
        <f t="shared" si="3"/>
        <v>#VALUE!</v>
      </c>
      <c r="I37" s="4"/>
      <c r="S37" s="4"/>
      <c r="T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</row>
    <row r="38" spans="1:122" ht="5.25" customHeight="1" x14ac:dyDescent="0.3">
      <c r="A38" s="13">
        <f t="shared" si="4"/>
        <v>1</v>
      </c>
      <c r="B38" s="5">
        <f t="shared" si="5"/>
        <v>0</v>
      </c>
      <c r="C38" s="17"/>
      <c r="D38" s="17"/>
      <c r="E38" s="15" t="e">
        <f t="array" ref="E38:F38">LINEST(D38:D39,C38:C39)</f>
        <v>#VALUE!</v>
      </c>
      <c r="F38" s="15" t="e">
        <v>#VALUE!</v>
      </c>
      <c r="G38" s="15" t="e">
        <f t="shared" si="2"/>
        <v>#VALUE!</v>
      </c>
      <c r="H38" s="16" t="e">
        <f t="shared" si="3"/>
        <v>#VALUE!</v>
      </c>
      <c r="I38" s="4"/>
      <c r="S38" s="4"/>
      <c r="T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</row>
    <row r="39" spans="1:122" ht="5.25" customHeight="1" x14ac:dyDescent="0.3">
      <c r="A39" s="13">
        <f t="shared" si="4"/>
        <v>1</v>
      </c>
      <c r="B39" s="5">
        <f t="shared" si="5"/>
        <v>0</v>
      </c>
      <c r="C39" s="17"/>
      <c r="D39" s="17"/>
      <c r="E39" s="15" t="e">
        <f t="array" ref="E39:F39">LINEST(D39:D40,C39:C40)</f>
        <v>#VALUE!</v>
      </c>
      <c r="F39" s="15" t="e">
        <v>#VALUE!</v>
      </c>
      <c r="G39" s="15" t="e">
        <f t="shared" si="2"/>
        <v>#VALUE!</v>
      </c>
      <c r="H39" s="16" t="e">
        <f t="shared" si="3"/>
        <v>#VALUE!</v>
      </c>
      <c r="I39" s="4"/>
      <c r="J39" s="4"/>
      <c r="K39" s="4"/>
      <c r="L39" s="4"/>
      <c r="M39" s="4"/>
      <c r="S39" s="4"/>
      <c r="T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</row>
    <row r="40" spans="1:122" ht="5.25" customHeight="1" x14ac:dyDescent="0.3">
      <c r="A40" s="13">
        <f t="shared" si="4"/>
        <v>1</v>
      </c>
      <c r="B40" s="5">
        <f t="shared" si="5"/>
        <v>0</v>
      </c>
      <c r="C40" s="17"/>
      <c r="D40" s="17"/>
      <c r="E40" s="15" t="e">
        <f t="array" ref="E40:F40">LINEST(D40:D41,C40:C41)</f>
        <v>#VALUE!</v>
      </c>
      <c r="F40" s="15" t="e">
        <v>#VALUE!</v>
      </c>
      <c r="G40" s="15" t="e">
        <f t="shared" si="2"/>
        <v>#VALUE!</v>
      </c>
      <c r="H40" s="16" t="e">
        <f t="shared" si="3"/>
        <v>#VALUE!</v>
      </c>
      <c r="I40" s="4"/>
      <c r="J40" s="4"/>
      <c r="K40" s="4"/>
      <c r="L40" s="4"/>
      <c r="M40" s="4"/>
      <c r="S40" s="4"/>
      <c r="T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</row>
    <row r="41" spans="1:122" ht="5.25" customHeight="1" x14ac:dyDescent="0.3">
      <c r="A41" s="13">
        <f t="shared" ref="A41:A104" si="6">IF(OR($I$27&gt;=C41,$I$27&lt;=C42),1,0)</f>
        <v>1</v>
      </c>
      <c r="B41" s="5">
        <f t="shared" si="5"/>
        <v>0</v>
      </c>
      <c r="C41" s="17"/>
      <c r="D41" s="17"/>
      <c r="E41" s="15" t="e">
        <f t="array" ref="E41:F41">LINEST(D41:D42,C41:C42)</f>
        <v>#VALUE!</v>
      </c>
      <c r="F41" s="15" t="e">
        <v>#VALUE!</v>
      </c>
      <c r="G41" s="15" t="e">
        <f t="shared" si="2"/>
        <v>#VALUE!</v>
      </c>
      <c r="H41" s="16" t="e">
        <f t="shared" si="3"/>
        <v>#VALUE!</v>
      </c>
      <c r="T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</row>
    <row r="42" spans="1:122" ht="5.25" customHeight="1" x14ac:dyDescent="0.3">
      <c r="A42" s="13">
        <f t="shared" si="6"/>
        <v>1</v>
      </c>
      <c r="B42" s="5">
        <f t="shared" si="5"/>
        <v>0</v>
      </c>
      <c r="C42" s="17"/>
      <c r="D42" s="17"/>
      <c r="E42" s="15" t="e">
        <f t="array" ref="E42:F42">LINEST(D42:D43,C42:C43)</f>
        <v>#VALUE!</v>
      </c>
      <c r="F42" s="15" t="e">
        <v>#VALUE!</v>
      </c>
      <c r="G42" s="15" t="e">
        <f t="shared" si="2"/>
        <v>#VALUE!</v>
      </c>
      <c r="H42" s="16" t="e">
        <f t="shared" si="3"/>
        <v>#VALUE!</v>
      </c>
      <c r="T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</row>
    <row r="43" spans="1:122" ht="5.25" customHeight="1" x14ac:dyDescent="0.3">
      <c r="A43" s="13">
        <f t="shared" si="6"/>
        <v>1</v>
      </c>
      <c r="B43" s="5">
        <f t="shared" si="5"/>
        <v>0</v>
      </c>
      <c r="C43" s="17"/>
      <c r="D43" s="17"/>
      <c r="E43" s="15" t="e">
        <f t="array" ref="E43:F43">LINEST(D43:D44,C43:C44)</f>
        <v>#VALUE!</v>
      </c>
      <c r="F43" s="15" t="e">
        <v>#VALUE!</v>
      </c>
      <c r="G43" s="15" t="e">
        <f t="shared" si="2"/>
        <v>#VALUE!</v>
      </c>
      <c r="H43" s="16" t="e">
        <f t="shared" si="3"/>
        <v>#VALUE!</v>
      </c>
      <c r="T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</row>
    <row r="44" spans="1:122" ht="5.25" customHeight="1" x14ac:dyDescent="0.3">
      <c r="A44" s="13">
        <f t="shared" si="6"/>
        <v>1</v>
      </c>
      <c r="B44" s="5">
        <f t="shared" si="5"/>
        <v>0</v>
      </c>
      <c r="C44" s="17"/>
      <c r="D44" s="17"/>
      <c r="E44" s="15" t="e">
        <f t="array" ref="E44:F44">LINEST(D44:D45,C44:C45)</f>
        <v>#VALUE!</v>
      </c>
      <c r="F44" s="15" t="e">
        <v>#VALUE!</v>
      </c>
      <c r="G44" s="15" t="e">
        <f t="shared" si="2"/>
        <v>#VALUE!</v>
      </c>
      <c r="H44" s="16" t="e">
        <f t="shared" si="3"/>
        <v>#VALUE!</v>
      </c>
      <c r="T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</row>
    <row r="45" spans="1:122" ht="5.25" customHeight="1" x14ac:dyDescent="0.3">
      <c r="A45" s="13">
        <f t="shared" si="6"/>
        <v>1</v>
      </c>
      <c r="B45" s="5">
        <f t="shared" si="5"/>
        <v>0</v>
      </c>
      <c r="C45" s="17"/>
      <c r="D45" s="17"/>
      <c r="E45" s="15" t="e">
        <f t="array" ref="E45:F45">LINEST(D45:D46,C45:C46)</f>
        <v>#VALUE!</v>
      </c>
      <c r="F45" s="15" t="e">
        <v>#VALUE!</v>
      </c>
      <c r="G45" s="15" t="e">
        <f t="shared" si="2"/>
        <v>#VALUE!</v>
      </c>
      <c r="H45" s="16" t="e">
        <f t="shared" si="3"/>
        <v>#VALUE!</v>
      </c>
      <c r="T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</row>
    <row r="46" spans="1:122" ht="5.25" customHeight="1" x14ac:dyDescent="0.3">
      <c r="A46" s="13">
        <f t="shared" si="6"/>
        <v>1</v>
      </c>
      <c r="B46" s="5">
        <f t="shared" si="5"/>
        <v>0</v>
      </c>
      <c r="C46" s="17"/>
      <c r="D46" s="17"/>
      <c r="E46" s="15" t="e">
        <f t="array" ref="E46:F46">LINEST(D46:D47,C46:C47)</f>
        <v>#VALUE!</v>
      </c>
      <c r="F46" s="15" t="e">
        <v>#VALUE!</v>
      </c>
      <c r="G46" s="15" t="e">
        <f t="shared" si="2"/>
        <v>#VALUE!</v>
      </c>
      <c r="H46" s="16" t="e">
        <f t="shared" si="3"/>
        <v>#VALUE!</v>
      </c>
      <c r="T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</row>
    <row r="47" spans="1:122" ht="5.25" customHeight="1" x14ac:dyDescent="0.3">
      <c r="A47" s="13">
        <f t="shared" si="6"/>
        <v>1</v>
      </c>
      <c r="B47" s="5">
        <f t="shared" si="5"/>
        <v>0</v>
      </c>
      <c r="C47" s="17"/>
      <c r="D47" s="17"/>
      <c r="E47" s="15" t="e">
        <f t="array" ref="E47:F47">LINEST(D47:D48,C47:C48)</f>
        <v>#VALUE!</v>
      </c>
      <c r="F47" s="15" t="e">
        <v>#VALUE!</v>
      </c>
      <c r="G47" s="15" t="e">
        <f t="shared" si="2"/>
        <v>#VALUE!</v>
      </c>
      <c r="H47" s="16" t="e">
        <f t="shared" si="3"/>
        <v>#VALUE!</v>
      </c>
      <c r="T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</row>
    <row r="48" spans="1:122" ht="5.25" customHeight="1" x14ac:dyDescent="0.3">
      <c r="A48" s="13">
        <f t="shared" si="6"/>
        <v>1</v>
      </c>
      <c r="B48" s="5">
        <f t="shared" si="5"/>
        <v>0</v>
      </c>
      <c r="C48" s="17"/>
      <c r="D48" s="17"/>
      <c r="E48" s="15" t="e">
        <f t="array" ref="E48:F48">LINEST(D48:D49,C48:C49)</f>
        <v>#VALUE!</v>
      </c>
      <c r="F48" s="15" t="e">
        <v>#VALUE!</v>
      </c>
      <c r="G48" s="15" t="e">
        <f t="shared" si="2"/>
        <v>#VALUE!</v>
      </c>
      <c r="H48" s="16" t="e">
        <f t="shared" si="3"/>
        <v>#VALUE!</v>
      </c>
      <c r="T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</row>
    <row r="49" spans="1:122" ht="5.25" customHeight="1" x14ac:dyDescent="0.3">
      <c r="A49" s="13">
        <f t="shared" si="6"/>
        <v>1</v>
      </c>
      <c r="B49" s="5">
        <f t="shared" si="5"/>
        <v>0</v>
      </c>
      <c r="C49" s="17"/>
      <c r="D49" s="17"/>
      <c r="E49" s="15" t="e">
        <f t="array" ref="E49:F49">LINEST(D49:D50,C49:C50)</f>
        <v>#VALUE!</v>
      </c>
      <c r="F49" s="15" t="e">
        <v>#VALUE!</v>
      </c>
      <c r="G49" s="15" t="e">
        <f t="shared" si="2"/>
        <v>#VALUE!</v>
      </c>
      <c r="H49" s="16" t="e">
        <f t="shared" si="3"/>
        <v>#VALUE!</v>
      </c>
      <c r="T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</row>
    <row r="50" spans="1:122" ht="5.25" customHeight="1" x14ac:dyDescent="0.3">
      <c r="A50" s="13">
        <f t="shared" si="6"/>
        <v>1</v>
      </c>
      <c r="B50" s="5">
        <f t="shared" si="5"/>
        <v>0</v>
      </c>
      <c r="C50" s="17"/>
      <c r="D50" s="17"/>
      <c r="E50" s="15" t="e">
        <f t="array" ref="E50:F50">LINEST(D50:D51,C50:C51)</f>
        <v>#VALUE!</v>
      </c>
      <c r="F50" s="15" t="e">
        <v>#VALUE!</v>
      </c>
      <c r="G50" s="15" t="e">
        <f t="shared" si="2"/>
        <v>#VALUE!</v>
      </c>
      <c r="H50" s="16" t="e">
        <f t="shared" si="3"/>
        <v>#VALUE!</v>
      </c>
      <c r="T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</row>
    <row r="51" spans="1:122" ht="5.25" customHeight="1" x14ac:dyDescent="0.3">
      <c r="A51" s="13">
        <f t="shared" si="6"/>
        <v>1</v>
      </c>
      <c r="B51" s="5">
        <f t="shared" si="5"/>
        <v>0</v>
      </c>
      <c r="C51" s="17"/>
      <c r="D51" s="17"/>
      <c r="E51" s="15" t="e">
        <f t="array" ref="E51:F51">LINEST(D51:D52,C51:C52)</f>
        <v>#VALUE!</v>
      </c>
      <c r="F51" s="15" t="e">
        <v>#VALUE!</v>
      </c>
      <c r="G51" s="15" t="e">
        <f t="shared" si="2"/>
        <v>#VALUE!</v>
      </c>
      <c r="H51" s="16" t="e">
        <f t="shared" si="3"/>
        <v>#VALUE!</v>
      </c>
      <c r="T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</row>
    <row r="52" spans="1:122" ht="5.25" customHeight="1" x14ac:dyDescent="0.3">
      <c r="A52" s="13">
        <f t="shared" si="6"/>
        <v>1</v>
      </c>
      <c r="B52" s="5">
        <f t="shared" si="5"/>
        <v>0</v>
      </c>
      <c r="C52" s="17"/>
      <c r="D52" s="17"/>
      <c r="E52" s="15" t="e">
        <f t="array" ref="E52:F52">LINEST(D52:D53,C52:C53)</f>
        <v>#VALUE!</v>
      </c>
      <c r="F52" s="15" t="e">
        <v>#VALUE!</v>
      </c>
      <c r="G52" s="15" t="e">
        <f t="shared" si="2"/>
        <v>#VALUE!</v>
      </c>
      <c r="H52" s="16" t="e">
        <f t="shared" si="3"/>
        <v>#VALUE!</v>
      </c>
      <c r="T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</row>
    <row r="53" spans="1:122" ht="5.25" customHeight="1" x14ac:dyDescent="0.3">
      <c r="A53" s="13">
        <f t="shared" si="6"/>
        <v>1</v>
      </c>
      <c r="B53" s="5">
        <f t="shared" si="5"/>
        <v>0</v>
      </c>
      <c r="C53" s="17"/>
      <c r="D53" s="17"/>
      <c r="E53" s="15" t="e">
        <f t="array" ref="E53:F53">LINEST(D53:D54,C53:C54)</f>
        <v>#VALUE!</v>
      </c>
      <c r="F53" s="15" t="e">
        <v>#VALUE!</v>
      </c>
      <c r="G53" s="15" t="e">
        <f t="shared" si="2"/>
        <v>#VALUE!</v>
      </c>
      <c r="H53" s="16" t="e">
        <f t="shared" si="3"/>
        <v>#VALUE!</v>
      </c>
      <c r="T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</row>
    <row r="54" spans="1:122" ht="5.25" customHeight="1" x14ac:dyDescent="0.3">
      <c r="A54" s="13">
        <f t="shared" si="6"/>
        <v>1</v>
      </c>
      <c r="B54" s="5">
        <f t="shared" si="5"/>
        <v>0</v>
      </c>
      <c r="C54" s="17"/>
      <c r="D54" s="17"/>
      <c r="E54" s="15" t="e">
        <f t="array" ref="E54:F54">LINEST(D54:D55,C54:C55)</f>
        <v>#VALUE!</v>
      </c>
      <c r="F54" s="15" t="e">
        <v>#VALUE!</v>
      </c>
      <c r="G54" s="15" t="e">
        <f t="shared" si="2"/>
        <v>#VALUE!</v>
      </c>
      <c r="H54" s="16" t="e">
        <f t="shared" si="3"/>
        <v>#VALUE!</v>
      </c>
      <c r="T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</row>
    <row r="55" spans="1:122" ht="5.25" customHeight="1" x14ac:dyDescent="0.3">
      <c r="A55" s="13">
        <f t="shared" si="6"/>
        <v>1</v>
      </c>
      <c r="B55" s="5">
        <f t="shared" si="5"/>
        <v>0</v>
      </c>
      <c r="C55" s="17"/>
      <c r="D55" s="17"/>
      <c r="E55" s="15" t="e">
        <f t="array" ref="E55:F55">LINEST(D55:D56,C55:C56)</f>
        <v>#VALUE!</v>
      </c>
      <c r="F55" s="15" t="e">
        <v>#VALUE!</v>
      </c>
      <c r="G55" s="15" t="e">
        <f t="shared" si="2"/>
        <v>#VALUE!</v>
      </c>
      <c r="H55" s="16" t="e">
        <f t="shared" si="3"/>
        <v>#VALUE!</v>
      </c>
      <c r="T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</row>
    <row r="56" spans="1:122" ht="5.25" customHeight="1" x14ac:dyDescent="0.3">
      <c r="A56" s="13">
        <f t="shared" si="6"/>
        <v>1</v>
      </c>
      <c r="B56" s="5">
        <f t="shared" si="5"/>
        <v>0</v>
      </c>
      <c r="C56" s="17"/>
      <c r="D56" s="17"/>
      <c r="E56" s="15" t="e">
        <f t="array" ref="E56:F56">LINEST(D56:D57,C56:C57)</f>
        <v>#VALUE!</v>
      </c>
      <c r="F56" s="15" t="e">
        <v>#VALUE!</v>
      </c>
      <c r="G56" s="15" t="e">
        <f t="shared" si="2"/>
        <v>#VALUE!</v>
      </c>
      <c r="H56" s="16" t="e">
        <f t="shared" si="3"/>
        <v>#VALUE!</v>
      </c>
      <c r="T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</row>
    <row r="57" spans="1:122" ht="5.25" customHeight="1" x14ac:dyDescent="0.3">
      <c r="A57" s="13">
        <f t="shared" si="6"/>
        <v>1</v>
      </c>
      <c r="B57" s="5">
        <f t="shared" si="5"/>
        <v>0</v>
      </c>
      <c r="C57" s="17"/>
      <c r="D57" s="17"/>
      <c r="E57" s="15" t="e">
        <f t="array" ref="E57:F57">LINEST(D57:D58,C57:C58)</f>
        <v>#VALUE!</v>
      </c>
      <c r="F57" s="15" t="e">
        <v>#VALUE!</v>
      </c>
      <c r="G57" s="15" t="e">
        <f t="shared" si="2"/>
        <v>#VALUE!</v>
      </c>
      <c r="H57" s="16" t="e">
        <f t="shared" si="3"/>
        <v>#VALUE!</v>
      </c>
      <c r="T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</row>
    <row r="58" spans="1:122" ht="5.25" customHeight="1" x14ac:dyDescent="0.3">
      <c r="A58" s="13">
        <f t="shared" si="6"/>
        <v>1</v>
      </c>
      <c r="B58" s="5">
        <f t="shared" si="5"/>
        <v>0</v>
      </c>
      <c r="C58" s="17"/>
      <c r="D58" s="17"/>
      <c r="E58" s="15" t="e">
        <f t="array" ref="E58:F58">LINEST(D58:D59,C58:C59)</f>
        <v>#VALUE!</v>
      </c>
      <c r="F58" s="15" t="e">
        <v>#VALUE!</v>
      </c>
      <c r="G58" s="15" t="e">
        <f t="shared" si="2"/>
        <v>#VALUE!</v>
      </c>
      <c r="H58" s="16" t="e">
        <f t="shared" si="3"/>
        <v>#VALUE!</v>
      </c>
      <c r="T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</row>
    <row r="59" spans="1:122" ht="5.25" customHeight="1" x14ac:dyDescent="0.3">
      <c r="A59" s="13">
        <f t="shared" si="6"/>
        <v>1</v>
      </c>
      <c r="B59" s="5">
        <f t="shared" si="5"/>
        <v>0</v>
      </c>
      <c r="C59" s="17"/>
      <c r="D59" s="17"/>
      <c r="E59" s="15" t="e">
        <f t="array" ref="E59:F59">LINEST(D59:D60,C59:C60)</f>
        <v>#VALUE!</v>
      </c>
      <c r="F59" s="15" t="e">
        <v>#VALUE!</v>
      </c>
      <c r="G59" s="15" t="e">
        <f t="shared" si="2"/>
        <v>#VALUE!</v>
      </c>
      <c r="H59" s="16" t="e">
        <f t="shared" si="3"/>
        <v>#VALUE!</v>
      </c>
      <c r="T59" s="4"/>
      <c r="V59" s="4"/>
      <c r="W59" s="18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</row>
    <row r="60" spans="1:122" ht="5.25" customHeight="1" x14ac:dyDescent="0.3">
      <c r="A60" s="13">
        <f t="shared" si="6"/>
        <v>1</v>
      </c>
      <c r="B60" s="5">
        <f t="shared" si="5"/>
        <v>0</v>
      </c>
      <c r="C60" s="17"/>
      <c r="D60" s="17"/>
      <c r="E60" s="15" t="e">
        <f t="array" ref="E60:F60">LINEST(D60:D61,C60:C61)</f>
        <v>#VALUE!</v>
      </c>
      <c r="F60" s="15" t="e">
        <v>#VALUE!</v>
      </c>
      <c r="G60" s="15" t="e">
        <f t="shared" si="2"/>
        <v>#VALUE!</v>
      </c>
      <c r="H60" s="16" t="e">
        <f t="shared" si="3"/>
        <v>#VALUE!</v>
      </c>
      <c r="T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</row>
    <row r="61" spans="1:122" ht="5.25" customHeight="1" x14ac:dyDescent="0.3">
      <c r="A61" s="13">
        <f t="shared" si="6"/>
        <v>1</v>
      </c>
      <c r="B61" s="5">
        <f t="shared" si="5"/>
        <v>0</v>
      </c>
      <c r="C61" s="17"/>
      <c r="D61" s="17"/>
      <c r="E61" s="15" t="e">
        <f t="array" ref="E61:F61">LINEST(D61:D62,C61:C62)</f>
        <v>#VALUE!</v>
      </c>
      <c r="F61" s="15" t="e">
        <v>#VALUE!</v>
      </c>
      <c r="G61" s="15" t="e">
        <f t="shared" si="2"/>
        <v>#VALUE!</v>
      </c>
      <c r="H61" s="16" t="e">
        <f t="shared" si="3"/>
        <v>#VALUE!</v>
      </c>
      <c r="T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</row>
    <row r="62" spans="1:122" ht="5.25" customHeight="1" x14ac:dyDescent="0.3">
      <c r="A62" s="13">
        <f t="shared" si="6"/>
        <v>1</v>
      </c>
      <c r="B62" s="5">
        <f t="shared" si="5"/>
        <v>0</v>
      </c>
      <c r="C62" s="17"/>
      <c r="D62" s="17"/>
      <c r="E62" s="15" t="e">
        <f t="array" ref="E62:F62">LINEST(D62:D63,C62:C63)</f>
        <v>#VALUE!</v>
      </c>
      <c r="F62" s="15" t="e">
        <v>#VALUE!</v>
      </c>
      <c r="G62" s="15" t="e">
        <f t="shared" si="2"/>
        <v>#VALUE!</v>
      </c>
      <c r="H62" s="16" t="e">
        <f t="shared" si="3"/>
        <v>#VALUE!</v>
      </c>
      <c r="T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</row>
    <row r="63" spans="1:122" ht="5.25" customHeight="1" x14ac:dyDescent="0.3">
      <c r="A63" s="13">
        <f t="shared" si="6"/>
        <v>1</v>
      </c>
      <c r="B63" s="5">
        <f t="shared" si="5"/>
        <v>0</v>
      </c>
      <c r="C63" s="17"/>
      <c r="D63" s="17"/>
      <c r="E63" s="15" t="e">
        <f t="array" ref="E63:F63">LINEST(D63:D64,C63:C64)</f>
        <v>#VALUE!</v>
      </c>
      <c r="F63" s="15" t="e">
        <v>#VALUE!</v>
      </c>
      <c r="G63" s="15" t="e">
        <f t="shared" si="2"/>
        <v>#VALUE!</v>
      </c>
      <c r="H63" s="16" t="e">
        <f t="shared" si="3"/>
        <v>#VALUE!</v>
      </c>
      <c r="T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</row>
    <row r="64" spans="1:122" ht="5.25" customHeight="1" x14ac:dyDescent="0.3">
      <c r="A64" s="13">
        <f t="shared" si="6"/>
        <v>1</v>
      </c>
      <c r="B64" s="5">
        <f t="shared" si="5"/>
        <v>0</v>
      </c>
      <c r="C64" s="17"/>
      <c r="D64" s="17"/>
      <c r="E64" s="15" t="e">
        <f t="array" ref="E64:F64">LINEST(D64:D65,C64:C65)</f>
        <v>#VALUE!</v>
      </c>
      <c r="F64" s="15" t="e">
        <v>#VALUE!</v>
      </c>
      <c r="G64" s="15" t="e">
        <f t="shared" si="2"/>
        <v>#VALUE!</v>
      </c>
      <c r="H64" s="16" t="e">
        <f t="shared" si="3"/>
        <v>#VALUE!</v>
      </c>
      <c r="T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</row>
    <row r="65" spans="1:122" ht="5.25" customHeight="1" x14ac:dyDescent="0.3">
      <c r="A65" s="13">
        <f t="shared" si="6"/>
        <v>1</v>
      </c>
      <c r="B65" s="5">
        <f t="shared" si="5"/>
        <v>0</v>
      </c>
      <c r="C65" s="17"/>
      <c r="D65" s="17"/>
      <c r="E65" s="15" t="e">
        <f t="array" ref="E65:F65">LINEST(D65:D66,C65:C66)</f>
        <v>#VALUE!</v>
      </c>
      <c r="F65" s="15" t="e">
        <v>#VALUE!</v>
      </c>
      <c r="G65" s="15" t="e">
        <f t="shared" si="2"/>
        <v>#VALUE!</v>
      </c>
      <c r="H65" s="16" t="e">
        <f t="shared" si="3"/>
        <v>#VALUE!</v>
      </c>
      <c r="T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</row>
    <row r="66" spans="1:122" ht="5.25" customHeight="1" x14ac:dyDescent="0.3">
      <c r="A66" s="13">
        <f t="shared" si="6"/>
        <v>1</v>
      </c>
      <c r="B66" s="5">
        <f t="shared" si="5"/>
        <v>0</v>
      </c>
      <c r="C66" s="17"/>
      <c r="D66" s="17"/>
      <c r="E66" s="15" t="e">
        <f t="array" ref="E66:F66">LINEST(D66:D67,C66:C67)</f>
        <v>#VALUE!</v>
      </c>
      <c r="F66" s="15" t="e">
        <v>#VALUE!</v>
      </c>
      <c r="G66" s="15" t="e">
        <f t="shared" si="2"/>
        <v>#VALUE!</v>
      </c>
      <c r="H66" s="16" t="e">
        <f t="shared" si="3"/>
        <v>#VALUE!</v>
      </c>
      <c r="T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</row>
    <row r="67" spans="1:122" ht="5.25" customHeight="1" x14ac:dyDescent="0.3">
      <c r="A67" s="13">
        <f t="shared" si="6"/>
        <v>1</v>
      </c>
      <c r="B67" s="5">
        <f t="shared" si="5"/>
        <v>0</v>
      </c>
      <c r="C67" s="17"/>
      <c r="D67" s="17"/>
      <c r="E67" s="15" t="e">
        <f t="array" ref="E67:F67">LINEST(D67:D68,C67:C68)</f>
        <v>#VALUE!</v>
      </c>
      <c r="F67" s="15" t="e">
        <v>#VALUE!</v>
      </c>
      <c r="G67" s="15" t="e">
        <f t="shared" si="2"/>
        <v>#VALUE!</v>
      </c>
      <c r="H67" s="16" t="e">
        <f t="shared" si="3"/>
        <v>#VALUE!</v>
      </c>
      <c r="T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</row>
    <row r="68" spans="1:122" ht="5.25" customHeight="1" x14ac:dyDescent="0.3">
      <c r="A68" s="13">
        <f t="shared" si="6"/>
        <v>1</v>
      </c>
      <c r="B68" s="5">
        <f t="shared" si="5"/>
        <v>0</v>
      </c>
      <c r="C68" s="17"/>
      <c r="D68" s="17"/>
      <c r="E68" s="15" t="e">
        <f t="array" ref="E68:F68">LINEST(D68:D69,C68:C69)</f>
        <v>#VALUE!</v>
      </c>
      <c r="F68" s="15" t="e">
        <v>#VALUE!</v>
      </c>
      <c r="G68" s="15" t="e">
        <f t="shared" si="2"/>
        <v>#VALUE!</v>
      </c>
      <c r="H68" s="16" t="e">
        <f t="shared" si="3"/>
        <v>#VALUE!</v>
      </c>
      <c r="T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</row>
    <row r="69" spans="1:122" ht="5.25" customHeight="1" x14ac:dyDescent="0.3">
      <c r="A69" s="13">
        <f t="shared" si="6"/>
        <v>1</v>
      </c>
      <c r="B69" s="5">
        <f t="shared" si="5"/>
        <v>0</v>
      </c>
      <c r="C69" s="17"/>
      <c r="D69" s="17"/>
      <c r="E69" s="15" t="e">
        <f t="array" ref="E69:F69">LINEST(D69:D70,C69:C70)</f>
        <v>#VALUE!</v>
      </c>
      <c r="F69" s="15" t="e">
        <v>#VALUE!</v>
      </c>
      <c r="G69" s="15" t="e">
        <f t="shared" si="2"/>
        <v>#VALUE!</v>
      </c>
      <c r="H69" s="16" t="e">
        <f t="shared" si="3"/>
        <v>#VALUE!</v>
      </c>
      <c r="T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</row>
    <row r="70" spans="1:122" ht="5.25" customHeight="1" x14ac:dyDescent="0.3">
      <c r="A70" s="13">
        <f t="shared" si="6"/>
        <v>1</v>
      </c>
      <c r="B70" s="5">
        <f t="shared" si="5"/>
        <v>0</v>
      </c>
      <c r="C70" s="17"/>
      <c r="D70" s="17"/>
      <c r="E70" s="15" t="e">
        <f t="array" ref="E70:F70">LINEST(D70:D71,C70:C71)</f>
        <v>#VALUE!</v>
      </c>
      <c r="F70" s="15" t="e">
        <v>#VALUE!</v>
      </c>
      <c r="G70" s="15" t="e">
        <f t="shared" si="2"/>
        <v>#VALUE!</v>
      </c>
      <c r="H70" s="16" t="e">
        <f t="shared" si="3"/>
        <v>#VALUE!</v>
      </c>
      <c r="T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</row>
    <row r="71" spans="1:122" ht="5.25" customHeight="1" x14ac:dyDescent="0.3">
      <c r="A71" s="13">
        <f t="shared" si="6"/>
        <v>1</v>
      </c>
      <c r="B71" s="5">
        <f t="shared" ref="B71:B113" si="7">IF(AND(C71&lt;=$I$27,$I$27&lt;=C72),1,0)</f>
        <v>0</v>
      </c>
      <c r="C71" s="17"/>
      <c r="D71" s="17"/>
      <c r="E71" s="15" t="e">
        <f t="array" ref="E71:F71">LINEST(D71:D72,C71:C72)</f>
        <v>#VALUE!</v>
      </c>
      <c r="F71" s="15" t="e">
        <v>#VALUE!</v>
      </c>
      <c r="G71" s="15" t="e">
        <f t="shared" ref="G71:G113" si="8">E71*$I$27+$F71</f>
        <v>#VALUE!</v>
      </c>
      <c r="H71" s="16" t="e">
        <f t="shared" ref="H71:H113" si="9">$I$27*E71+F71</f>
        <v>#VALUE!</v>
      </c>
      <c r="T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</row>
    <row r="72" spans="1:122" ht="5.25" customHeight="1" x14ac:dyDescent="0.3">
      <c r="A72" s="13">
        <f t="shared" si="6"/>
        <v>1</v>
      </c>
      <c r="B72" s="5">
        <f t="shared" si="7"/>
        <v>0</v>
      </c>
      <c r="C72" s="17"/>
      <c r="D72" s="17"/>
      <c r="E72" s="15" t="e">
        <f t="array" ref="E72:F72">LINEST(D72:D73,C72:C73)</f>
        <v>#VALUE!</v>
      </c>
      <c r="F72" s="15" t="e">
        <v>#VALUE!</v>
      </c>
      <c r="G72" s="15" t="e">
        <f t="shared" si="8"/>
        <v>#VALUE!</v>
      </c>
      <c r="H72" s="16" t="e">
        <f t="shared" si="9"/>
        <v>#VALUE!</v>
      </c>
      <c r="T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</row>
    <row r="73" spans="1:122" ht="5.25" customHeight="1" x14ac:dyDescent="0.3">
      <c r="A73" s="13">
        <f t="shared" si="6"/>
        <v>1</v>
      </c>
      <c r="B73" s="5">
        <f t="shared" si="7"/>
        <v>0</v>
      </c>
      <c r="C73" s="17"/>
      <c r="D73" s="17"/>
      <c r="E73" s="15" t="e">
        <f t="array" ref="E73:F73">LINEST(D73:D74,C73:C74)</f>
        <v>#VALUE!</v>
      </c>
      <c r="F73" s="15" t="e">
        <v>#VALUE!</v>
      </c>
      <c r="G73" s="15" t="e">
        <f t="shared" si="8"/>
        <v>#VALUE!</v>
      </c>
      <c r="H73" s="16" t="e">
        <f t="shared" si="9"/>
        <v>#VALUE!</v>
      </c>
      <c r="T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</row>
    <row r="74" spans="1:122" ht="5.25" customHeight="1" x14ac:dyDescent="0.3">
      <c r="A74" s="13">
        <f t="shared" si="6"/>
        <v>1</v>
      </c>
      <c r="B74" s="5">
        <f t="shared" si="7"/>
        <v>0</v>
      </c>
      <c r="C74" s="17"/>
      <c r="D74" s="17"/>
      <c r="E74" s="15" t="e">
        <f t="array" ref="E74:F74">LINEST(D74:D75,C74:C75)</f>
        <v>#VALUE!</v>
      </c>
      <c r="F74" s="15" t="e">
        <v>#VALUE!</v>
      </c>
      <c r="G74" s="15" t="e">
        <f t="shared" si="8"/>
        <v>#VALUE!</v>
      </c>
      <c r="H74" s="16" t="e">
        <f t="shared" si="9"/>
        <v>#VALUE!</v>
      </c>
      <c r="T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</row>
    <row r="75" spans="1:122" ht="5.25" customHeight="1" x14ac:dyDescent="0.3">
      <c r="A75" s="13">
        <f t="shared" si="6"/>
        <v>1</v>
      </c>
      <c r="B75" s="5">
        <f t="shared" si="7"/>
        <v>0</v>
      </c>
      <c r="C75" s="17"/>
      <c r="D75" s="17"/>
      <c r="E75" s="15" t="e">
        <f t="array" ref="E75:F75">LINEST(D75:D76,C75:C76)</f>
        <v>#VALUE!</v>
      </c>
      <c r="F75" s="15" t="e">
        <v>#VALUE!</v>
      </c>
      <c r="G75" s="15" t="e">
        <f t="shared" si="8"/>
        <v>#VALUE!</v>
      </c>
      <c r="H75" s="16" t="e">
        <f t="shared" si="9"/>
        <v>#VALUE!</v>
      </c>
      <c r="T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</row>
    <row r="76" spans="1:122" ht="5.25" customHeight="1" x14ac:dyDescent="0.3">
      <c r="A76" s="13">
        <f t="shared" si="6"/>
        <v>1</v>
      </c>
      <c r="B76" s="5">
        <f t="shared" si="7"/>
        <v>0</v>
      </c>
      <c r="C76" s="17"/>
      <c r="D76" s="17"/>
      <c r="E76" s="15" t="e">
        <f t="array" ref="E76:F76">LINEST(D76:D77,C76:C77)</f>
        <v>#VALUE!</v>
      </c>
      <c r="F76" s="15" t="e">
        <v>#VALUE!</v>
      </c>
      <c r="G76" s="15" t="e">
        <f t="shared" si="8"/>
        <v>#VALUE!</v>
      </c>
      <c r="H76" s="16" t="e">
        <f t="shared" si="9"/>
        <v>#VALUE!</v>
      </c>
      <c r="T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</row>
    <row r="77" spans="1:122" ht="5.25" customHeight="1" x14ac:dyDescent="0.3">
      <c r="A77" s="13">
        <f t="shared" si="6"/>
        <v>1</v>
      </c>
      <c r="B77" s="5">
        <f t="shared" si="7"/>
        <v>0</v>
      </c>
      <c r="C77" s="17"/>
      <c r="D77" s="17"/>
      <c r="E77" s="15" t="e">
        <f t="array" ref="E77:F77">LINEST(D77:D78,C77:C78)</f>
        <v>#VALUE!</v>
      </c>
      <c r="F77" s="15" t="e">
        <v>#VALUE!</v>
      </c>
      <c r="G77" s="15" t="e">
        <f t="shared" si="8"/>
        <v>#VALUE!</v>
      </c>
      <c r="H77" s="16" t="e">
        <f t="shared" si="9"/>
        <v>#VALUE!</v>
      </c>
      <c r="T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</row>
    <row r="78" spans="1:122" ht="5.25" customHeight="1" x14ac:dyDescent="0.3">
      <c r="A78" s="13">
        <f t="shared" si="6"/>
        <v>1</v>
      </c>
      <c r="B78" s="5">
        <f t="shared" si="7"/>
        <v>0</v>
      </c>
      <c r="C78" s="17"/>
      <c r="D78" s="17"/>
      <c r="E78" s="15" t="e">
        <f t="array" ref="E78:F78">LINEST(D78:D79,C78:C79)</f>
        <v>#VALUE!</v>
      </c>
      <c r="F78" s="15" t="e">
        <v>#VALUE!</v>
      </c>
      <c r="G78" s="15" t="e">
        <f t="shared" si="8"/>
        <v>#VALUE!</v>
      </c>
      <c r="H78" s="16" t="e">
        <f t="shared" si="9"/>
        <v>#VALUE!</v>
      </c>
      <c r="T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</row>
    <row r="79" spans="1:122" ht="5.25" customHeight="1" x14ac:dyDescent="0.3">
      <c r="A79" s="13">
        <f t="shared" si="6"/>
        <v>1</v>
      </c>
      <c r="B79" s="5">
        <f t="shared" si="7"/>
        <v>0</v>
      </c>
      <c r="C79" s="17"/>
      <c r="D79" s="17"/>
      <c r="E79" s="15" t="e">
        <f t="array" ref="E79:F79">LINEST(D79:D80,C79:C80)</f>
        <v>#VALUE!</v>
      </c>
      <c r="F79" s="15" t="e">
        <v>#VALUE!</v>
      </c>
      <c r="G79" s="15" t="e">
        <f t="shared" si="8"/>
        <v>#VALUE!</v>
      </c>
      <c r="H79" s="16" t="e">
        <f t="shared" si="9"/>
        <v>#VALUE!</v>
      </c>
      <c r="T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</row>
    <row r="80" spans="1:122" ht="5.25" customHeight="1" x14ac:dyDescent="0.3">
      <c r="A80" s="13">
        <f t="shared" si="6"/>
        <v>1</v>
      </c>
      <c r="B80" s="5">
        <f t="shared" si="7"/>
        <v>0</v>
      </c>
      <c r="C80" s="17"/>
      <c r="D80" s="17"/>
      <c r="E80" s="15" t="e">
        <f t="array" ref="E80:F80">LINEST(D80:D81,C80:C81)</f>
        <v>#VALUE!</v>
      </c>
      <c r="F80" s="15" t="e">
        <v>#VALUE!</v>
      </c>
      <c r="G80" s="15" t="e">
        <f t="shared" si="8"/>
        <v>#VALUE!</v>
      </c>
      <c r="H80" s="16" t="e">
        <f t="shared" si="9"/>
        <v>#VALUE!</v>
      </c>
      <c r="T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</row>
    <row r="81" spans="1:122" ht="5.25" customHeight="1" x14ac:dyDescent="0.3">
      <c r="A81" s="13">
        <f t="shared" si="6"/>
        <v>1</v>
      </c>
      <c r="B81" s="5">
        <f t="shared" si="7"/>
        <v>0</v>
      </c>
      <c r="C81" s="17"/>
      <c r="D81" s="17"/>
      <c r="E81" s="15" t="e">
        <f t="array" ref="E81:F81">LINEST(D81:D82,C81:C82)</f>
        <v>#VALUE!</v>
      </c>
      <c r="F81" s="15" t="e">
        <v>#VALUE!</v>
      </c>
      <c r="G81" s="15" t="e">
        <f t="shared" si="8"/>
        <v>#VALUE!</v>
      </c>
      <c r="H81" s="16" t="e">
        <f t="shared" si="9"/>
        <v>#VALUE!</v>
      </c>
      <c r="T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</row>
    <row r="82" spans="1:122" ht="5.25" customHeight="1" x14ac:dyDescent="0.3">
      <c r="A82" s="13">
        <f t="shared" si="6"/>
        <v>1</v>
      </c>
      <c r="B82" s="5">
        <f t="shared" si="7"/>
        <v>0</v>
      </c>
      <c r="C82" s="17"/>
      <c r="D82" s="17"/>
      <c r="E82" s="15" t="e">
        <f t="array" ref="E82:F82">LINEST(D82:D83,C82:C83)</f>
        <v>#VALUE!</v>
      </c>
      <c r="F82" s="15" t="e">
        <v>#VALUE!</v>
      </c>
      <c r="G82" s="15" t="e">
        <f t="shared" si="8"/>
        <v>#VALUE!</v>
      </c>
      <c r="H82" s="16" t="e">
        <f t="shared" si="9"/>
        <v>#VALUE!</v>
      </c>
      <c r="T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</row>
    <row r="83" spans="1:122" ht="5.25" customHeight="1" x14ac:dyDescent="0.3">
      <c r="A83" s="13">
        <f t="shared" si="6"/>
        <v>1</v>
      </c>
      <c r="B83" s="5">
        <f t="shared" si="7"/>
        <v>0</v>
      </c>
      <c r="C83" s="17"/>
      <c r="D83" s="17"/>
      <c r="E83" s="15" t="e">
        <f t="array" ref="E83:F83">LINEST(D83:D84,C83:C84)</f>
        <v>#VALUE!</v>
      </c>
      <c r="F83" s="15" t="e">
        <v>#VALUE!</v>
      </c>
      <c r="G83" s="15" t="e">
        <f t="shared" si="8"/>
        <v>#VALUE!</v>
      </c>
      <c r="H83" s="16" t="e">
        <f t="shared" si="9"/>
        <v>#VALUE!</v>
      </c>
      <c r="T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</row>
    <row r="84" spans="1:122" ht="5.25" customHeight="1" x14ac:dyDescent="0.3">
      <c r="A84" s="13">
        <f t="shared" si="6"/>
        <v>1</v>
      </c>
      <c r="B84" s="5">
        <f t="shared" si="7"/>
        <v>0</v>
      </c>
      <c r="C84" s="17"/>
      <c r="D84" s="17"/>
      <c r="E84" s="15" t="e">
        <f t="array" ref="E84:F84">LINEST(D84:D85,C84:C85)</f>
        <v>#VALUE!</v>
      </c>
      <c r="F84" s="15" t="e">
        <v>#VALUE!</v>
      </c>
      <c r="G84" s="15" t="e">
        <f t="shared" si="8"/>
        <v>#VALUE!</v>
      </c>
      <c r="H84" s="16" t="e">
        <f t="shared" si="9"/>
        <v>#VALUE!</v>
      </c>
      <c r="T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</row>
    <row r="85" spans="1:122" ht="5.25" customHeight="1" x14ac:dyDescent="0.3">
      <c r="A85" s="13">
        <f t="shared" si="6"/>
        <v>1</v>
      </c>
      <c r="B85" s="5">
        <f t="shared" si="7"/>
        <v>0</v>
      </c>
      <c r="C85" s="17"/>
      <c r="D85" s="17"/>
      <c r="E85" s="15" t="e">
        <f t="array" ref="E85:F85">LINEST(D85:D86,C85:C86)</f>
        <v>#VALUE!</v>
      </c>
      <c r="F85" s="15" t="e">
        <v>#VALUE!</v>
      </c>
      <c r="G85" s="15" t="e">
        <f t="shared" si="8"/>
        <v>#VALUE!</v>
      </c>
      <c r="H85" s="16" t="e">
        <f t="shared" si="9"/>
        <v>#VALUE!</v>
      </c>
      <c r="T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</row>
    <row r="86" spans="1:122" ht="5.25" customHeight="1" x14ac:dyDescent="0.3">
      <c r="A86" s="13">
        <f t="shared" si="6"/>
        <v>1</v>
      </c>
      <c r="B86" s="5">
        <f t="shared" si="7"/>
        <v>0</v>
      </c>
      <c r="C86" s="17"/>
      <c r="D86" s="17"/>
      <c r="E86" s="15" t="e">
        <f t="array" ref="E86:F86">LINEST(D86:D87,C86:C87)</f>
        <v>#VALUE!</v>
      </c>
      <c r="F86" s="15" t="e">
        <v>#VALUE!</v>
      </c>
      <c r="G86" s="15" t="e">
        <f t="shared" si="8"/>
        <v>#VALUE!</v>
      </c>
      <c r="H86" s="16" t="e">
        <f t="shared" si="9"/>
        <v>#VALUE!</v>
      </c>
      <c r="T86" s="4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/>
      <c r="DP86" s="18"/>
      <c r="DQ86" s="18"/>
      <c r="DR86" s="18"/>
    </row>
    <row r="87" spans="1:122" ht="5.25" customHeight="1" x14ac:dyDescent="0.3">
      <c r="A87" s="13">
        <f t="shared" si="6"/>
        <v>1</v>
      </c>
      <c r="B87" s="5">
        <f t="shared" si="7"/>
        <v>0</v>
      </c>
      <c r="C87" s="17"/>
      <c r="D87" s="17"/>
      <c r="E87" s="15" t="e">
        <f t="array" ref="E87:F87">LINEST(D87:D88,C87:C88)</f>
        <v>#VALUE!</v>
      </c>
      <c r="F87" s="15" t="e">
        <v>#VALUE!</v>
      </c>
      <c r="G87" s="15" t="e">
        <f t="shared" si="8"/>
        <v>#VALUE!</v>
      </c>
      <c r="H87" s="16" t="e">
        <f t="shared" si="9"/>
        <v>#VALUE!</v>
      </c>
      <c r="T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</row>
    <row r="88" spans="1:122" ht="5.25" customHeight="1" x14ac:dyDescent="0.3">
      <c r="A88" s="13">
        <f t="shared" si="6"/>
        <v>1</v>
      </c>
      <c r="B88" s="5">
        <f t="shared" si="7"/>
        <v>0</v>
      </c>
      <c r="C88" s="17"/>
      <c r="D88" s="17"/>
      <c r="E88" s="15" t="e">
        <f t="array" ref="E88:F88">LINEST(D88:D89,C88:C89)</f>
        <v>#VALUE!</v>
      </c>
      <c r="F88" s="15" t="e">
        <v>#VALUE!</v>
      </c>
      <c r="G88" s="15" t="e">
        <f t="shared" si="8"/>
        <v>#VALUE!</v>
      </c>
      <c r="H88" s="16" t="e">
        <f t="shared" si="9"/>
        <v>#VALUE!</v>
      </c>
      <c r="T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</row>
    <row r="89" spans="1:122" ht="5.25" customHeight="1" x14ac:dyDescent="0.3">
      <c r="A89" s="13">
        <f t="shared" si="6"/>
        <v>1</v>
      </c>
      <c r="B89" s="5">
        <f t="shared" si="7"/>
        <v>0</v>
      </c>
      <c r="C89" s="17"/>
      <c r="D89" s="17"/>
      <c r="E89" s="15" t="e">
        <f t="array" ref="E89:F89">LINEST(D89:D90,C89:C90)</f>
        <v>#VALUE!</v>
      </c>
      <c r="F89" s="15" t="e">
        <v>#VALUE!</v>
      </c>
      <c r="G89" s="15" t="e">
        <f t="shared" si="8"/>
        <v>#VALUE!</v>
      </c>
      <c r="H89" s="16" t="e">
        <f t="shared" si="9"/>
        <v>#VALUE!</v>
      </c>
      <c r="T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</row>
    <row r="90" spans="1:122" ht="5.25" customHeight="1" x14ac:dyDescent="0.3">
      <c r="A90" s="13">
        <f t="shared" si="6"/>
        <v>1</v>
      </c>
      <c r="B90" s="5">
        <f t="shared" si="7"/>
        <v>0</v>
      </c>
      <c r="C90" s="17"/>
      <c r="D90" s="17"/>
      <c r="E90" s="15" t="e">
        <f t="array" ref="E90:F90">LINEST(D90:D91,C90:C91)</f>
        <v>#VALUE!</v>
      </c>
      <c r="F90" s="15" t="e">
        <v>#VALUE!</v>
      </c>
      <c r="G90" s="15" t="e">
        <f t="shared" si="8"/>
        <v>#VALUE!</v>
      </c>
      <c r="H90" s="16" t="e">
        <f t="shared" si="9"/>
        <v>#VALUE!</v>
      </c>
      <c r="T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</row>
    <row r="91" spans="1:122" ht="5.25" customHeight="1" x14ac:dyDescent="0.3">
      <c r="A91" s="13">
        <f t="shared" si="6"/>
        <v>1</v>
      </c>
      <c r="B91" s="5">
        <f t="shared" si="7"/>
        <v>0</v>
      </c>
      <c r="C91" s="17"/>
      <c r="D91" s="17"/>
      <c r="E91" s="15" t="e">
        <f t="array" ref="E91:F91">LINEST(D91:D92,C91:C92)</f>
        <v>#VALUE!</v>
      </c>
      <c r="F91" s="15" t="e">
        <v>#VALUE!</v>
      </c>
      <c r="G91" s="15" t="e">
        <f t="shared" si="8"/>
        <v>#VALUE!</v>
      </c>
      <c r="H91" s="16" t="e">
        <f t="shared" si="9"/>
        <v>#VALUE!</v>
      </c>
      <c r="T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</row>
    <row r="92" spans="1:122" ht="5.25" customHeight="1" x14ac:dyDescent="0.3">
      <c r="A92" s="13">
        <f t="shared" si="6"/>
        <v>1</v>
      </c>
      <c r="B92" s="5">
        <f t="shared" si="7"/>
        <v>0</v>
      </c>
      <c r="C92" s="17"/>
      <c r="D92" s="17"/>
      <c r="E92" s="15" t="e">
        <f t="array" ref="E92:F92">LINEST(D92:D93,C92:C93)</f>
        <v>#VALUE!</v>
      </c>
      <c r="F92" s="15" t="e">
        <v>#VALUE!</v>
      </c>
      <c r="G92" s="15" t="e">
        <f t="shared" si="8"/>
        <v>#VALUE!</v>
      </c>
      <c r="H92" s="16" t="e">
        <f t="shared" si="9"/>
        <v>#VALUE!</v>
      </c>
      <c r="T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</row>
    <row r="93" spans="1:122" ht="5.25" customHeight="1" x14ac:dyDescent="0.3">
      <c r="A93" s="13">
        <f t="shared" si="6"/>
        <v>1</v>
      </c>
      <c r="B93" s="5">
        <f t="shared" si="7"/>
        <v>0</v>
      </c>
      <c r="C93" s="17"/>
      <c r="D93" s="17"/>
      <c r="E93" s="15" t="e">
        <f t="array" ref="E93:F93">LINEST(D93:D94,C93:C94)</f>
        <v>#VALUE!</v>
      </c>
      <c r="F93" s="15" t="e">
        <v>#VALUE!</v>
      </c>
      <c r="G93" s="15" t="e">
        <f t="shared" si="8"/>
        <v>#VALUE!</v>
      </c>
      <c r="H93" s="16" t="e">
        <f t="shared" si="9"/>
        <v>#VALUE!</v>
      </c>
      <c r="T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</row>
    <row r="94" spans="1:122" ht="5.25" customHeight="1" x14ac:dyDescent="0.3">
      <c r="A94" s="13">
        <f t="shared" si="6"/>
        <v>1</v>
      </c>
      <c r="B94" s="5">
        <f t="shared" si="7"/>
        <v>0</v>
      </c>
      <c r="C94" s="17"/>
      <c r="D94" s="17"/>
      <c r="E94" s="15" t="e">
        <f t="array" ref="E94:F94">LINEST(D94:D95,C94:C95)</f>
        <v>#VALUE!</v>
      </c>
      <c r="F94" s="15" t="e">
        <v>#VALUE!</v>
      </c>
      <c r="G94" s="15" t="e">
        <f t="shared" si="8"/>
        <v>#VALUE!</v>
      </c>
      <c r="H94" s="16" t="e">
        <f t="shared" si="9"/>
        <v>#VALUE!</v>
      </c>
      <c r="T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</row>
    <row r="95" spans="1:122" ht="5.25" customHeight="1" x14ac:dyDescent="0.3">
      <c r="A95" s="13">
        <f t="shared" si="6"/>
        <v>1</v>
      </c>
      <c r="B95" s="5">
        <f t="shared" si="7"/>
        <v>0</v>
      </c>
      <c r="C95" s="17"/>
      <c r="D95" s="17"/>
      <c r="E95" s="15" t="e">
        <f t="array" ref="E95:F95">LINEST(D95:D96,C95:C96)</f>
        <v>#VALUE!</v>
      </c>
      <c r="F95" s="15" t="e">
        <v>#VALUE!</v>
      </c>
      <c r="G95" s="15" t="e">
        <f t="shared" si="8"/>
        <v>#VALUE!</v>
      </c>
      <c r="H95" s="16" t="e">
        <f t="shared" si="9"/>
        <v>#VALUE!</v>
      </c>
      <c r="T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</row>
    <row r="96" spans="1:122" ht="5.25" customHeight="1" x14ac:dyDescent="0.3">
      <c r="A96" s="13">
        <f t="shared" si="6"/>
        <v>1</v>
      </c>
      <c r="B96" s="5">
        <f t="shared" si="7"/>
        <v>0</v>
      </c>
      <c r="C96" s="17"/>
      <c r="D96" s="17"/>
      <c r="E96" s="15" t="e">
        <f t="array" ref="E96:F96">LINEST(D96:D97,C96:C97)</f>
        <v>#VALUE!</v>
      </c>
      <c r="F96" s="15" t="e">
        <v>#VALUE!</v>
      </c>
      <c r="G96" s="15" t="e">
        <f t="shared" si="8"/>
        <v>#VALUE!</v>
      </c>
      <c r="H96" s="16" t="e">
        <f t="shared" si="9"/>
        <v>#VALUE!</v>
      </c>
      <c r="T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</row>
    <row r="97" spans="1:122" ht="5.25" customHeight="1" x14ac:dyDescent="0.3">
      <c r="A97" s="13">
        <f t="shared" si="6"/>
        <v>1</v>
      </c>
      <c r="B97" s="5">
        <f t="shared" si="7"/>
        <v>0</v>
      </c>
      <c r="C97" s="17"/>
      <c r="D97" s="17"/>
      <c r="E97" s="15" t="e">
        <f t="array" ref="E97:F97">LINEST(D97:D98,C97:C98)</f>
        <v>#VALUE!</v>
      </c>
      <c r="F97" s="15" t="e">
        <v>#VALUE!</v>
      </c>
      <c r="G97" s="15" t="e">
        <f t="shared" si="8"/>
        <v>#VALUE!</v>
      </c>
      <c r="H97" s="16" t="e">
        <f t="shared" si="9"/>
        <v>#VALUE!</v>
      </c>
      <c r="T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</row>
    <row r="98" spans="1:122" ht="5.25" customHeight="1" x14ac:dyDescent="0.3">
      <c r="A98" s="13">
        <f t="shared" si="6"/>
        <v>1</v>
      </c>
      <c r="B98" s="5">
        <f t="shared" si="7"/>
        <v>0</v>
      </c>
      <c r="C98" s="17"/>
      <c r="D98" s="17"/>
      <c r="E98" s="15" t="e">
        <f t="array" ref="E98:F98">LINEST(D98:D99,C98:C99)</f>
        <v>#VALUE!</v>
      </c>
      <c r="F98" s="15" t="e">
        <v>#VALUE!</v>
      </c>
      <c r="G98" s="15" t="e">
        <f t="shared" si="8"/>
        <v>#VALUE!</v>
      </c>
      <c r="H98" s="16" t="e">
        <f t="shared" si="9"/>
        <v>#VALUE!</v>
      </c>
      <c r="T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</row>
    <row r="99" spans="1:122" ht="5.25" customHeight="1" x14ac:dyDescent="0.3">
      <c r="A99" s="13">
        <f t="shared" si="6"/>
        <v>1</v>
      </c>
      <c r="B99" s="5">
        <f t="shared" si="7"/>
        <v>0</v>
      </c>
      <c r="C99" s="17"/>
      <c r="D99" s="17"/>
      <c r="E99" s="15" t="e">
        <f t="array" ref="E99:F99">LINEST(D99:D100,C99:C100)</f>
        <v>#VALUE!</v>
      </c>
      <c r="F99" s="15" t="e">
        <v>#VALUE!</v>
      </c>
      <c r="G99" s="15" t="e">
        <f t="shared" si="8"/>
        <v>#VALUE!</v>
      </c>
      <c r="H99" s="16" t="e">
        <f t="shared" si="9"/>
        <v>#VALUE!</v>
      </c>
      <c r="T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</row>
    <row r="100" spans="1:122" ht="5.25" customHeight="1" x14ac:dyDescent="0.3">
      <c r="A100" s="13">
        <f t="shared" si="6"/>
        <v>1</v>
      </c>
      <c r="B100" s="5">
        <f t="shared" si="7"/>
        <v>0</v>
      </c>
      <c r="C100" s="17"/>
      <c r="D100" s="17"/>
      <c r="E100" s="15" t="e">
        <f t="array" ref="E100:F100">LINEST(D100:D101,C100:C101)</f>
        <v>#VALUE!</v>
      </c>
      <c r="F100" s="15" t="e">
        <v>#VALUE!</v>
      </c>
      <c r="G100" s="15" t="e">
        <f t="shared" si="8"/>
        <v>#VALUE!</v>
      </c>
      <c r="H100" s="16" t="e">
        <f t="shared" si="9"/>
        <v>#VALUE!</v>
      </c>
      <c r="T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 t="s">
        <v>15</v>
      </c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</row>
    <row r="101" spans="1:122" ht="5.25" customHeight="1" x14ac:dyDescent="0.3">
      <c r="A101" s="13">
        <f t="shared" si="6"/>
        <v>1</v>
      </c>
      <c r="B101" s="5">
        <f t="shared" si="7"/>
        <v>0</v>
      </c>
      <c r="C101" s="17"/>
      <c r="D101" s="17"/>
      <c r="E101" s="15" t="e">
        <f t="array" ref="E101:F101">LINEST(D101:D102,C101:C102)</f>
        <v>#VALUE!</v>
      </c>
      <c r="F101" s="15" t="e">
        <v>#VALUE!</v>
      </c>
      <c r="G101" s="15" t="e">
        <f t="shared" si="8"/>
        <v>#VALUE!</v>
      </c>
      <c r="H101" s="16" t="e">
        <f t="shared" si="9"/>
        <v>#VALUE!</v>
      </c>
      <c r="T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28" t="s">
        <v>13</v>
      </c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</row>
    <row r="102" spans="1:122" ht="5.25" customHeight="1" x14ac:dyDescent="0.3">
      <c r="A102" s="13">
        <f t="shared" si="6"/>
        <v>1</v>
      </c>
      <c r="B102" s="5">
        <f t="shared" si="7"/>
        <v>0</v>
      </c>
      <c r="C102" s="17"/>
      <c r="D102" s="17"/>
      <c r="E102" s="15" t="e">
        <f t="array" ref="E102:F102">LINEST(D102:D103,C102:C103)</f>
        <v>#VALUE!</v>
      </c>
      <c r="F102" s="15" t="e">
        <v>#VALUE!</v>
      </c>
      <c r="G102" s="15" t="e">
        <f t="shared" si="8"/>
        <v>#VALUE!</v>
      </c>
      <c r="H102" s="16" t="e">
        <f t="shared" si="9"/>
        <v>#VALUE!</v>
      </c>
      <c r="T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28" t="s">
        <v>14</v>
      </c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</row>
    <row r="103" spans="1:122" ht="5.25" customHeight="1" x14ac:dyDescent="0.3">
      <c r="A103" s="13">
        <f t="shared" si="6"/>
        <v>1</v>
      </c>
      <c r="B103" s="5">
        <f t="shared" si="7"/>
        <v>0</v>
      </c>
      <c r="C103" s="17"/>
      <c r="D103" s="17"/>
      <c r="E103" s="15" t="e">
        <f t="array" ref="E103:F103">LINEST(D103:D104,C103:C104)</f>
        <v>#VALUE!</v>
      </c>
      <c r="F103" s="15" t="e">
        <v>#VALUE!</v>
      </c>
      <c r="G103" s="15" t="e">
        <f t="shared" si="8"/>
        <v>#VALUE!</v>
      </c>
      <c r="H103" s="16" t="e">
        <f t="shared" si="9"/>
        <v>#VALUE!</v>
      </c>
      <c r="T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>
        <v>-9999</v>
      </c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</row>
    <row r="104" spans="1:122" ht="5.25" customHeight="1" x14ac:dyDescent="0.3">
      <c r="A104" s="13">
        <f t="shared" si="6"/>
        <v>1</v>
      </c>
      <c r="B104" s="5">
        <f t="shared" si="7"/>
        <v>0</v>
      </c>
      <c r="C104" s="17"/>
      <c r="D104" s="17"/>
      <c r="E104" s="15" t="e">
        <f t="array" ref="E104:F104">LINEST(D104:D105,C104:C105)</f>
        <v>#VALUE!</v>
      </c>
      <c r="F104" s="15" t="e">
        <v>#VALUE!</v>
      </c>
      <c r="G104" s="15" t="e">
        <f t="shared" si="8"/>
        <v>#VALUE!</v>
      </c>
      <c r="H104" s="16" t="e">
        <f t="shared" si="9"/>
        <v>#VALUE!</v>
      </c>
      <c r="T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 t="s">
        <v>16</v>
      </c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</row>
    <row r="105" spans="1:122" ht="5.25" customHeight="1" x14ac:dyDescent="0.3">
      <c r="A105" s="13">
        <f t="shared" ref="A105:A113" si="10">IF(OR($I$27&gt;=C105,$I$27&lt;=C106),1,0)</f>
        <v>1</v>
      </c>
      <c r="B105" s="5">
        <f t="shared" si="7"/>
        <v>0</v>
      </c>
      <c r="C105" s="17"/>
      <c r="D105" s="17"/>
      <c r="E105" s="15" t="e">
        <f t="array" ref="E105:F105">LINEST(D105:D106,C105:C106)</f>
        <v>#VALUE!</v>
      </c>
      <c r="F105" s="15" t="e">
        <v>#VALUE!</v>
      </c>
      <c r="G105" s="15" t="e">
        <f t="shared" si="8"/>
        <v>#VALUE!</v>
      </c>
      <c r="H105" s="16" t="e">
        <f t="shared" si="9"/>
        <v>#VALUE!</v>
      </c>
      <c r="T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 t="s">
        <v>17</v>
      </c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</row>
    <row r="106" spans="1:122" ht="5.25" customHeight="1" x14ac:dyDescent="0.3">
      <c r="A106" s="13">
        <f t="shared" si="10"/>
        <v>1</v>
      </c>
      <c r="B106" s="5">
        <f t="shared" si="7"/>
        <v>0</v>
      </c>
      <c r="C106" s="17"/>
      <c r="D106" s="17"/>
      <c r="E106" s="15" t="e">
        <f t="array" ref="E106:F106">LINEST(D106:D107,C106:C107)</f>
        <v>#VALUE!</v>
      </c>
      <c r="F106" s="15" t="e">
        <v>#VALUE!</v>
      </c>
      <c r="G106" s="15" t="e">
        <f t="shared" si="8"/>
        <v>#VALUE!</v>
      </c>
      <c r="H106" s="16" t="e">
        <f t="shared" si="9"/>
        <v>#VALUE!</v>
      </c>
      <c r="T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 t="s">
        <v>18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</row>
    <row r="107" spans="1:122" ht="5.25" customHeight="1" x14ac:dyDescent="0.3">
      <c r="A107" s="13">
        <f t="shared" si="10"/>
        <v>1</v>
      </c>
      <c r="B107" s="5">
        <f t="shared" si="7"/>
        <v>0</v>
      </c>
      <c r="C107" s="17"/>
      <c r="D107" s="17"/>
      <c r="E107" s="15" t="e">
        <f t="array" ref="E107:F107">LINEST(D107:D108,C107:C108)</f>
        <v>#VALUE!</v>
      </c>
      <c r="F107" s="15" t="e">
        <v>#VALUE!</v>
      </c>
      <c r="G107" s="15" t="e">
        <f t="shared" si="8"/>
        <v>#VALUE!</v>
      </c>
      <c r="H107" s="16" t="e">
        <f t="shared" si="9"/>
        <v>#VALUE!</v>
      </c>
      <c r="T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</row>
    <row r="108" spans="1:122" ht="5.25" customHeight="1" x14ac:dyDescent="0.3">
      <c r="A108" s="13">
        <f t="shared" si="10"/>
        <v>1</v>
      </c>
      <c r="B108" s="5">
        <f t="shared" si="7"/>
        <v>0</v>
      </c>
      <c r="C108" s="17"/>
      <c r="D108" s="17"/>
      <c r="E108" s="15" t="e">
        <f t="array" ref="E108:F108">LINEST(D108:D109,C108:C109)</f>
        <v>#VALUE!</v>
      </c>
      <c r="F108" s="15" t="e">
        <v>#VALUE!</v>
      </c>
      <c r="G108" s="15" t="e">
        <f t="shared" si="8"/>
        <v>#VALUE!</v>
      </c>
      <c r="H108" s="16" t="e">
        <f t="shared" si="9"/>
        <v>#VALUE!</v>
      </c>
      <c r="T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</row>
    <row r="109" spans="1:122" ht="5.25" customHeight="1" x14ac:dyDescent="0.3">
      <c r="A109" s="13">
        <f t="shared" si="10"/>
        <v>1</v>
      </c>
      <c r="B109" s="5">
        <f t="shared" si="7"/>
        <v>0</v>
      </c>
      <c r="C109" s="17"/>
      <c r="D109" s="17"/>
      <c r="E109" s="15" t="e">
        <f t="array" ref="E109:F109">LINEST(D109:D110,C109:C110)</f>
        <v>#VALUE!</v>
      </c>
      <c r="F109" s="15" t="e">
        <v>#VALUE!</v>
      </c>
      <c r="G109" s="15" t="e">
        <f t="shared" si="8"/>
        <v>#VALUE!</v>
      </c>
      <c r="H109" s="16" t="e">
        <f t="shared" si="9"/>
        <v>#VALUE!</v>
      </c>
      <c r="T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</row>
    <row r="110" spans="1:122" ht="5.25" customHeight="1" x14ac:dyDescent="0.3">
      <c r="A110" s="13">
        <f t="shared" si="10"/>
        <v>1</v>
      </c>
      <c r="B110" s="5">
        <f t="shared" si="7"/>
        <v>0</v>
      </c>
      <c r="C110" s="17"/>
      <c r="D110" s="17"/>
      <c r="E110" s="15" t="e">
        <f t="array" ref="E110:F110">LINEST(D110:D111,C110:C111)</f>
        <v>#VALUE!</v>
      </c>
      <c r="F110" s="15" t="e">
        <v>#VALUE!</v>
      </c>
      <c r="G110" s="15" t="e">
        <f t="shared" si="8"/>
        <v>#VALUE!</v>
      </c>
      <c r="H110" s="16" t="e">
        <f t="shared" si="9"/>
        <v>#VALUE!</v>
      </c>
      <c r="T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</row>
    <row r="111" spans="1:122" ht="5.25" customHeight="1" x14ac:dyDescent="0.3">
      <c r="A111" s="13">
        <f t="shared" si="10"/>
        <v>1</v>
      </c>
      <c r="B111" s="5">
        <f t="shared" si="7"/>
        <v>0</v>
      </c>
      <c r="C111" s="17"/>
      <c r="D111" s="17"/>
      <c r="E111" s="15" t="e">
        <f t="array" ref="E111:F111">LINEST(D111:D112,C111:C112)</f>
        <v>#VALUE!</v>
      </c>
      <c r="F111" s="15" t="e">
        <v>#VALUE!</v>
      </c>
      <c r="G111" s="15" t="e">
        <f t="shared" si="8"/>
        <v>#VALUE!</v>
      </c>
      <c r="H111" s="16" t="e">
        <f t="shared" si="9"/>
        <v>#VALUE!</v>
      </c>
      <c r="T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</row>
    <row r="112" spans="1:122" ht="5.25" customHeight="1" x14ac:dyDescent="0.3">
      <c r="A112" s="13">
        <f t="shared" si="10"/>
        <v>1</v>
      </c>
      <c r="B112" s="5">
        <f t="shared" si="7"/>
        <v>0</v>
      </c>
      <c r="C112" s="17"/>
      <c r="D112" s="17"/>
      <c r="E112" s="15" t="e">
        <f t="array" ref="E112:F112">LINEST(D112:D113,C112:C113)</f>
        <v>#VALUE!</v>
      </c>
      <c r="F112" s="15" t="e">
        <v>#VALUE!</v>
      </c>
      <c r="G112" s="15" t="e">
        <f t="shared" si="8"/>
        <v>#VALUE!</v>
      </c>
      <c r="H112" s="16" t="e">
        <f t="shared" si="9"/>
        <v>#VALUE!</v>
      </c>
      <c r="T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</row>
    <row r="113" spans="1:122" ht="5.25" customHeight="1" x14ac:dyDescent="0.3">
      <c r="A113" s="13">
        <f t="shared" si="10"/>
        <v>1</v>
      </c>
      <c r="B113" s="5">
        <f t="shared" si="7"/>
        <v>0</v>
      </c>
      <c r="C113" s="17"/>
      <c r="D113" s="17"/>
      <c r="E113" s="15" t="e">
        <f t="array" ref="E113:F113">LINEST(D113:D114,C113:C114)</f>
        <v>#VALUE!</v>
      </c>
      <c r="F113" s="15" t="e">
        <v>#VALUE!</v>
      </c>
      <c r="G113" s="15" t="e">
        <f t="shared" si="8"/>
        <v>#VALUE!</v>
      </c>
      <c r="H113" s="16" t="e">
        <f t="shared" si="9"/>
        <v>#VALUE!</v>
      </c>
      <c r="T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</row>
    <row r="114" spans="1:122" ht="5.25" customHeight="1" x14ac:dyDescent="0.25">
      <c r="A114" s="5"/>
      <c r="T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</row>
    <row r="115" spans="1:122" x14ac:dyDescent="0.25">
      <c r="T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</row>
    <row r="116" spans="1:122" x14ac:dyDescent="0.25">
      <c r="T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</row>
    <row r="117" spans="1:122" x14ac:dyDescent="0.25">
      <c r="T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</row>
    <row r="118" spans="1:122" x14ac:dyDescent="0.25">
      <c r="T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</row>
    <row r="119" spans="1:122" x14ac:dyDescent="0.25">
      <c r="T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</row>
    <row r="120" spans="1:122" x14ac:dyDescent="0.25">
      <c r="T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</row>
    <row r="121" spans="1:122" x14ac:dyDescent="0.25">
      <c r="T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</row>
    <row r="122" spans="1:122" x14ac:dyDescent="0.25">
      <c r="T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</row>
    <row r="123" spans="1:122" x14ac:dyDescent="0.25">
      <c r="T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</row>
    <row r="124" spans="1:122" x14ac:dyDescent="0.25">
      <c r="T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</row>
    <row r="125" spans="1:122" x14ac:dyDescent="0.25">
      <c r="T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</row>
    <row r="126" spans="1:122" x14ac:dyDescent="0.25">
      <c r="T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</row>
    <row r="127" spans="1:122" x14ac:dyDescent="0.25">
      <c r="T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</row>
    <row r="128" spans="1:122" x14ac:dyDescent="0.25">
      <c r="T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</row>
    <row r="129" spans="20:122" x14ac:dyDescent="0.25">
      <c r="T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</row>
    <row r="130" spans="20:122" x14ac:dyDescent="0.25">
      <c r="T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</row>
    <row r="131" spans="20:122" x14ac:dyDescent="0.25">
      <c r="T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</row>
    <row r="132" spans="20:122" x14ac:dyDescent="0.25">
      <c r="T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</row>
    <row r="133" spans="20:122" x14ac:dyDescent="0.25">
      <c r="T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</row>
    <row r="134" spans="20:122" x14ac:dyDescent="0.25">
      <c r="T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</row>
    <row r="135" spans="20:122" x14ac:dyDescent="0.25">
      <c r="T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</row>
    <row r="136" spans="20:122" x14ac:dyDescent="0.25">
      <c r="T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</row>
    <row r="137" spans="20:122" x14ac:dyDescent="0.25">
      <c r="T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</row>
    <row r="138" spans="20:122" x14ac:dyDescent="0.25">
      <c r="T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</row>
    <row r="139" spans="20:122" x14ac:dyDescent="0.25">
      <c r="T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</row>
    <row r="140" spans="20:122" x14ac:dyDescent="0.25">
      <c r="T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</row>
    <row r="141" spans="20:122" x14ac:dyDescent="0.25">
      <c r="T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</row>
    <row r="142" spans="20:122" x14ac:dyDescent="0.25">
      <c r="T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</row>
    <row r="143" spans="20:122" x14ac:dyDescent="0.25">
      <c r="T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</row>
    <row r="144" spans="20:122" x14ac:dyDescent="0.25">
      <c r="T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</row>
    <row r="145" spans="20:122" x14ac:dyDescent="0.25">
      <c r="T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</row>
    <row r="146" spans="20:122" x14ac:dyDescent="0.25">
      <c r="T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</row>
    <row r="147" spans="20:122" x14ac:dyDescent="0.25">
      <c r="T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</row>
    <row r="148" spans="20:122" x14ac:dyDescent="0.25">
      <c r="T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</row>
    <row r="149" spans="20:122" x14ac:dyDescent="0.25">
      <c r="T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</row>
    <row r="150" spans="20:122" x14ac:dyDescent="0.25">
      <c r="T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</row>
    <row r="151" spans="20:122" x14ac:dyDescent="0.25">
      <c r="T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</row>
    <row r="152" spans="20:122" x14ac:dyDescent="0.25">
      <c r="T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</row>
    <row r="153" spans="20:122" x14ac:dyDescent="0.25">
      <c r="T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</row>
    <row r="154" spans="20:122" x14ac:dyDescent="0.25">
      <c r="T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</row>
    <row r="155" spans="20:122" x14ac:dyDescent="0.25">
      <c r="T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</row>
    <row r="156" spans="20:122" x14ac:dyDescent="0.25">
      <c r="T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</row>
    <row r="157" spans="20:122" x14ac:dyDescent="0.25">
      <c r="T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</row>
    <row r="158" spans="20:122" x14ac:dyDescent="0.25">
      <c r="T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</row>
    <row r="159" spans="20:122" x14ac:dyDescent="0.25">
      <c r="T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</row>
    <row r="160" spans="20:122" x14ac:dyDescent="0.25">
      <c r="T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</row>
    <row r="161" spans="20:122" x14ac:dyDescent="0.25">
      <c r="T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</row>
    <row r="162" spans="20:122" x14ac:dyDescent="0.25">
      <c r="T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</row>
    <row r="163" spans="20:122" x14ac:dyDescent="0.25">
      <c r="T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</row>
    <row r="164" spans="20:122" x14ac:dyDescent="0.25">
      <c r="T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</row>
    <row r="165" spans="20:122" x14ac:dyDescent="0.25">
      <c r="T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</row>
    <row r="166" spans="20:122" x14ac:dyDescent="0.25">
      <c r="T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</row>
    <row r="167" spans="20:122" x14ac:dyDescent="0.25">
      <c r="T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</row>
    <row r="168" spans="20:122" x14ac:dyDescent="0.25">
      <c r="T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</row>
    <row r="169" spans="20:122" x14ac:dyDescent="0.25">
      <c r="T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</row>
    <row r="170" spans="20:122" x14ac:dyDescent="0.25">
      <c r="T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</row>
    <row r="171" spans="20:122" x14ac:dyDescent="0.25">
      <c r="T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</row>
    <row r="172" spans="20:122" x14ac:dyDescent="0.25">
      <c r="T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</row>
    <row r="173" spans="20:122" x14ac:dyDescent="0.25">
      <c r="T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</row>
    <row r="174" spans="20:122" x14ac:dyDescent="0.25">
      <c r="T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</row>
    <row r="175" spans="20:122" x14ac:dyDescent="0.25">
      <c r="T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</row>
    <row r="176" spans="20:122" x14ac:dyDescent="0.25">
      <c r="T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</row>
    <row r="177" spans="20:122" x14ac:dyDescent="0.25">
      <c r="T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</row>
    <row r="178" spans="20:122" x14ac:dyDescent="0.25">
      <c r="T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</row>
    <row r="179" spans="20:122" x14ac:dyDescent="0.25">
      <c r="T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</row>
    <row r="180" spans="20:122" x14ac:dyDescent="0.25">
      <c r="T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</row>
    <row r="181" spans="20:122" x14ac:dyDescent="0.25">
      <c r="T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</row>
    <row r="182" spans="20:122" x14ac:dyDescent="0.25">
      <c r="T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</row>
    <row r="183" spans="20:122" x14ac:dyDescent="0.25">
      <c r="T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</row>
    <row r="184" spans="20:122" x14ac:dyDescent="0.25">
      <c r="T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</row>
    <row r="185" spans="20:122" x14ac:dyDescent="0.25">
      <c r="T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</row>
    <row r="186" spans="20:122" x14ac:dyDescent="0.25">
      <c r="T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</row>
    <row r="187" spans="20:122" x14ac:dyDescent="0.25">
      <c r="T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</row>
    <row r="188" spans="20:122" x14ac:dyDescent="0.25">
      <c r="T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</row>
    <row r="189" spans="20:122" x14ac:dyDescent="0.25">
      <c r="T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</row>
    <row r="190" spans="20:122" x14ac:dyDescent="0.25">
      <c r="T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</row>
    <row r="191" spans="20:122" x14ac:dyDescent="0.25">
      <c r="T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</row>
    <row r="192" spans="20:122" x14ac:dyDescent="0.25">
      <c r="T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</row>
    <row r="193" spans="20:122" x14ac:dyDescent="0.25">
      <c r="T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</row>
    <row r="194" spans="20:122" x14ac:dyDescent="0.25">
      <c r="T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</row>
    <row r="195" spans="20:122" x14ac:dyDescent="0.25">
      <c r="T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</row>
    <row r="196" spans="20:122" x14ac:dyDescent="0.25">
      <c r="T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</row>
    <row r="197" spans="20:122" x14ac:dyDescent="0.25">
      <c r="T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</row>
    <row r="198" spans="20:122" x14ac:dyDescent="0.25">
      <c r="T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</row>
    <row r="199" spans="20:122" x14ac:dyDescent="0.25">
      <c r="T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</row>
    <row r="200" spans="20:122" x14ac:dyDescent="0.25">
      <c r="T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</row>
    <row r="201" spans="20:122" x14ac:dyDescent="0.25">
      <c r="T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</row>
    <row r="202" spans="20:122" x14ac:dyDescent="0.25">
      <c r="T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</row>
    <row r="203" spans="20:122" x14ac:dyDescent="0.25">
      <c r="T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</row>
    <row r="204" spans="20:122" x14ac:dyDescent="0.25">
      <c r="T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</row>
    <row r="205" spans="20:122" x14ac:dyDescent="0.25">
      <c r="T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</row>
    <row r="206" spans="20:122" x14ac:dyDescent="0.25">
      <c r="T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</row>
    <row r="207" spans="20:122" x14ac:dyDescent="0.25">
      <c r="T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</row>
    <row r="208" spans="20:122" x14ac:dyDescent="0.25">
      <c r="T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</row>
    <row r="209" spans="20:122" x14ac:dyDescent="0.25">
      <c r="T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</row>
    <row r="210" spans="20:122" x14ac:dyDescent="0.25">
      <c r="T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</row>
    <row r="211" spans="20:122" x14ac:dyDescent="0.25">
      <c r="T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</row>
  </sheetData>
  <sheetProtection algorithmName="SHA-512" hashValue="T3gyitOXTsJ1E/5aUjosLR78SQNCTc7i+TCdEanPCwBgjA7tnck6yxyv1MTCIhvT0GqAhd/g0tAkIDd8vuhIwQ==" saltValue="9urmKmthdxIcxzdE5GPfSA==" spinCount="100000" sheet="1" selectLockedCells="1" sort="0" autoFilter="0" pivotTables="0" selectUnlockedCells="1"/>
  <sortState xmlns:xlrd2="http://schemas.microsoft.com/office/spreadsheetml/2017/richdata2" ref="T1:T211">
    <sortCondition ref="T1"/>
  </sortState>
  <pageMargins left="0.7" right="0.7" top="0.75" bottom="0.75" header="0.3" footer="0.3"/>
  <pageSetup paperSize="9" orientation="portrait" horizontalDpi="1200" verticalDpi="1200" r:id="rId1"/>
  <ignoredErrors>
    <ignoredError sqref="G42:G113" evalError="1"/>
  </ignoredErrors>
  <drawing r:id="rId2"/>
  <legacyDrawing r:id="rId3"/>
  <controls>
    <mc:AlternateContent xmlns:mc="http://schemas.openxmlformats.org/markup-compatibility/2006">
      <mc:Choice Requires="x14">
        <control shapeId="1033" r:id="rId4" name="CommandButton1">
          <controlPr defaultSize="0" autoLine="0" r:id="rId5">
            <anchor moveWithCells="1">
              <from>
                <xdr:col>15</xdr:col>
                <xdr:colOff>38100</xdr:colOff>
                <xdr:row>0</xdr:row>
                <xdr:rowOff>4543425</xdr:rowOff>
              </from>
              <to>
                <xdr:col>17</xdr:col>
                <xdr:colOff>104775</xdr:colOff>
                <xdr:row>0</xdr:row>
                <xdr:rowOff>5057775</xdr:rowOff>
              </to>
            </anchor>
          </controlPr>
        </control>
      </mc:Choice>
      <mc:Fallback>
        <control shapeId="103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3"/>
  <dimension ref="A1"/>
  <sheetViews>
    <sheetView zoomScale="55" zoomScaleNormal="55" workbookViewId="0">
      <selection activeCell="P9" sqref="P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PB</dc:creator>
  <cp:lastModifiedBy>PB</cp:lastModifiedBy>
  <dcterms:created xsi:type="dcterms:W3CDTF">2023-03-07T14:53:27Z</dcterms:created>
  <dcterms:modified xsi:type="dcterms:W3CDTF">2023-03-12T19:08:11Z</dcterms:modified>
</cp:coreProperties>
</file>